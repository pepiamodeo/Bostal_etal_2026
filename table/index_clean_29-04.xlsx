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C:\Users\Fran\Documents\Uni\Doctorado\R\demo_horses\table\"/>
    </mc:Choice>
  </mc:AlternateContent>
  <xr:revisionPtr revIDLastSave="0" documentId="13_ncr:1_{29D6B305-39D5-4FC1-812A-994EC7B83F9D}" xr6:coauthVersionLast="36" xr6:coauthVersionMax="36" xr10:uidLastSave="{00000000-0000-0000-0000-000000000000}"/>
  <bookViews>
    <workbookView xWindow="6510" yWindow="0" windowWidth="16380" windowHeight="8190" tabRatio="500" firstSheet="1" activeTab="3" xr2:uid="{00000000-000D-0000-FFFF-FFFF00000000}"/>
  </bookViews>
  <sheets>
    <sheet name="index_clean_29-04" sheetId="1" r:id="rId1"/>
    <sheet name="v2026" sheetId="2" r:id="rId2"/>
    <sheet name="rank-2026" sheetId="4" r:id="rId3"/>
    <sheet name="vlowdensity" sheetId="6" r:id="rId4"/>
    <sheet name="rank-low" sheetId="5" r:id="rId5"/>
  </sheets>
  <definedNames>
    <definedName name="_xlnm._FilterDatabase" localSheetId="0" hidden="1">'index_clean_29-04'!$A$1:$P$489</definedName>
    <definedName name="_xlnm._FilterDatabase" localSheetId="1" hidden="1">'v2026'!$A$1:$O$245</definedName>
    <definedName name="_xlnm._FilterDatabase" localSheetId="3" hidden="1">vlowdensity!$A$1:$P$245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17" i="6" l="1"/>
  <c r="O20" i="6"/>
  <c r="O21" i="6"/>
  <c r="O24" i="6"/>
  <c r="O23" i="6"/>
  <c r="O29" i="6"/>
  <c r="O19" i="6"/>
  <c r="O11" i="6"/>
  <c r="O13" i="6"/>
  <c r="O37" i="6"/>
  <c r="O25" i="6"/>
  <c r="O15" i="6"/>
  <c r="O22" i="6"/>
  <c r="O30" i="6"/>
  <c r="O35" i="6"/>
  <c r="O177" i="6"/>
  <c r="O198" i="6"/>
  <c r="O167" i="6"/>
  <c r="O185" i="6"/>
  <c r="O139" i="6"/>
  <c r="O201" i="6"/>
  <c r="O134" i="6"/>
  <c r="O174" i="6"/>
  <c r="O151" i="6"/>
  <c r="O169" i="6"/>
  <c r="O197" i="6"/>
  <c r="O178" i="6"/>
  <c r="O144" i="6"/>
  <c r="O199" i="6"/>
  <c r="O181" i="6"/>
  <c r="O141" i="6"/>
  <c r="O148" i="6"/>
  <c r="O97" i="6"/>
  <c r="O12" i="6"/>
  <c r="O111" i="6"/>
  <c r="O83" i="6"/>
  <c r="O186" i="6"/>
  <c r="O154" i="6"/>
  <c r="O156" i="6"/>
  <c r="O115" i="6"/>
  <c r="O124" i="6"/>
  <c r="O105" i="6"/>
  <c r="O112" i="6"/>
  <c r="O93" i="6"/>
  <c r="O129" i="6"/>
  <c r="O87" i="6"/>
  <c r="O114" i="6"/>
  <c r="O84" i="6"/>
  <c r="O90" i="6"/>
  <c r="O96" i="6"/>
  <c r="O100" i="6"/>
  <c r="O101" i="6"/>
  <c r="O27" i="6"/>
  <c r="O219" i="6"/>
  <c r="O218" i="6"/>
  <c r="O217" i="6"/>
  <c r="O207" i="6"/>
  <c r="O56" i="6"/>
  <c r="O57" i="6"/>
  <c r="O196" i="6"/>
  <c r="O188" i="6"/>
  <c r="O216" i="6"/>
  <c r="O215" i="6"/>
  <c r="O214" i="6"/>
  <c r="O208" i="6"/>
  <c r="O60" i="6"/>
  <c r="O155" i="6"/>
  <c r="O205" i="6"/>
  <c r="O195" i="6"/>
  <c r="O70" i="6"/>
  <c r="O61" i="6"/>
  <c r="O152" i="6"/>
  <c r="O72" i="6"/>
  <c r="O80" i="6"/>
  <c r="O128" i="6"/>
  <c r="O183" i="6"/>
  <c r="O164" i="6"/>
  <c r="O79" i="6"/>
  <c r="O191" i="6"/>
  <c r="O190" i="6"/>
  <c r="O180" i="6"/>
  <c r="O179" i="6"/>
  <c r="O173" i="6"/>
  <c r="O202" i="6"/>
  <c r="O138" i="6"/>
  <c r="O203" i="6"/>
  <c r="O194" i="6"/>
  <c r="O192" i="6"/>
  <c r="O187" i="6"/>
  <c r="O143" i="6"/>
  <c r="O142" i="6"/>
  <c r="O98" i="6"/>
  <c r="O147" i="6"/>
  <c r="O132" i="6"/>
  <c r="O171" i="6"/>
  <c r="O170" i="6"/>
  <c r="O165" i="6"/>
  <c r="O86" i="6"/>
  <c r="O113" i="6"/>
  <c r="O140" i="6"/>
  <c r="O28" i="6"/>
  <c r="O103" i="6"/>
  <c r="O104" i="6"/>
  <c r="O125" i="6"/>
  <c r="O94" i="6"/>
  <c r="O32" i="6"/>
  <c r="O108" i="6"/>
  <c r="O68" i="6"/>
  <c r="O52" i="6"/>
  <c r="O77" i="6"/>
  <c r="O50" i="6"/>
  <c r="O54" i="6"/>
  <c r="O59" i="6"/>
  <c r="O45" i="6"/>
  <c r="O40" i="6"/>
  <c r="O34" i="6"/>
  <c r="O7" i="6"/>
  <c r="O8" i="6"/>
  <c r="O6" i="6"/>
  <c r="O33" i="6"/>
  <c r="O5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6" i="6"/>
  <c r="M15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" i="6"/>
  <c r="J3" i="6"/>
  <c r="J4" i="6"/>
  <c r="J5" i="6"/>
  <c r="J6" i="6"/>
  <c r="J7" i="6"/>
  <c r="J8" i="6"/>
  <c r="J9" i="6"/>
  <c r="J10" i="6"/>
  <c r="J11" i="6"/>
  <c r="J12" i="6"/>
  <c r="J13" i="6"/>
  <c r="J14" i="6"/>
  <c r="J16" i="6"/>
  <c r="J15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" i="6"/>
  <c r="P157" i="6" l="1"/>
  <c r="P221" i="6"/>
  <c r="P205" i="6"/>
  <c r="P115" i="6"/>
  <c r="P173" i="6"/>
  <c r="P83" i="6"/>
  <c r="P51" i="6"/>
  <c r="P141" i="6"/>
  <c r="P14" i="6"/>
  <c r="P35" i="6"/>
  <c r="P245" i="6"/>
  <c r="P189" i="6"/>
  <c r="P237" i="6"/>
  <c r="P43" i="6"/>
  <c r="P241" i="6"/>
  <c r="P225" i="6"/>
  <c r="P209" i="6"/>
  <c r="P193" i="6"/>
  <c r="P177" i="6"/>
  <c r="P161" i="6"/>
  <c r="P145" i="6"/>
  <c r="P123" i="6"/>
  <c r="P91" i="6"/>
  <c r="P59" i="6"/>
  <c r="P27" i="6"/>
  <c r="P22" i="6"/>
  <c r="P34" i="6"/>
  <c r="P54" i="6"/>
  <c r="P140" i="6"/>
  <c r="P170" i="6"/>
  <c r="P98" i="6"/>
  <c r="P192" i="6"/>
  <c r="P202" i="6"/>
  <c r="P190" i="6"/>
  <c r="P183" i="6"/>
  <c r="P152" i="6"/>
  <c r="P214" i="6"/>
  <c r="P196" i="6"/>
  <c r="P148" i="6"/>
  <c r="P144" i="6"/>
  <c r="P151" i="6"/>
  <c r="P139" i="6"/>
  <c r="P171" i="6"/>
  <c r="P142" i="6"/>
  <c r="P194" i="6"/>
  <c r="P191" i="6"/>
  <c r="P155" i="6"/>
  <c r="P215" i="6"/>
  <c r="P218" i="6"/>
  <c r="P111" i="6"/>
  <c r="P178" i="6"/>
  <c r="P174" i="6"/>
  <c r="P233" i="6"/>
  <c r="P217" i="6"/>
  <c r="P201" i="6"/>
  <c r="P185" i="6"/>
  <c r="P169" i="6"/>
  <c r="P153" i="6"/>
  <c r="P137" i="6"/>
  <c r="P107" i="6"/>
  <c r="P75" i="6"/>
  <c r="P229" i="6"/>
  <c r="P213" i="6"/>
  <c r="P197" i="6"/>
  <c r="P181" i="6"/>
  <c r="P165" i="6"/>
  <c r="P149" i="6"/>
  <c r="P131" i="6"/>
  <c r="P99" i="6"/>
  <c r="P67" i="6"/>
  <c r="P244" i="6"/>
  <c r="P236" i="6"/>
  <c r="P224" i="6"/>
  <c r="P212" i="6"/>
  <c r="P208" i="6"/>
  <c r="P188" i="6"/>
  <c r="P172" i="6"/>
  <c r="P240" i="6"/>
  <c r="P232" i="6"/>
  <c r="P228" i="6"/>
  <c r="P216" i="6"/>
  <c r="P204" i="6"/>
  <c r="P184" i="6"/>
  <c r="P176" i="6"/>
  <c r="P168" i="6"/>
  <c r="P164" i="6"/>
  <c r="P156" i="6"/>
  <c r="P130" i="6"/>
  <c r="P122" i="6"/>
  <c r="P106" i="6"/>
  <c r="P90" i="6"/>
  <c r="P74" i="6"/>
  <c r="P66" i="6"/>
  <c r="P58" i="6"/>
  <c r="P42" i="6"/>
  <c r="P243" i="6"/>
  <c r="P239" i="6"/>
  <c r="P235" i="6"/>
  <c r="P231" i="6"/>
  <c r="P227" i="6"/>
  <c r="P223" i="6"/>
  <c r="P219" i="6"/>
  <c r="P211" i="6"/>
  <c r="P207" i="6"/>
  <c r="P203" i="6"/>
  <c r="P199" i="6"/>
  <c r="P195" i="6"/>
  <c r="P187" i="6"/>
  <c r="P179" i="6"/>
  <c r="P175" i="6"/>
  <c r="P167" i="6"/>
  <c r="P163" i="6"/>
  <c r="P159" i="6"/>
  <c r="P147" i="6"/>
  <c r="P143" i="6"/>
  <c r="P135" i="6"/>
  <c r="P127" i="6"/>
  <c r="P119" i="6"/>
  <c r="P103" i="6"/>
  <c r="P95" i="6"/>
  <c r="P87" i="6"/>
  <c r="P79" i="6"/>
  <c r="P71" i="6"/>
  <c r="P63" i="6"/>
  <c r="P55" i="6"/>
  <c r="P47" i="6"/>
  <c r="P39" i="6"/>
  <c r="P31" i="6"/>
  <c r="P23" i="6"/>
  <c r="P18" i="6"/>
  <c r="P220" i="6"/>
  <c r="P200" i="6"/>
  <c r="P180" i="6"/>
  <c r="P160" i="6"/>
  <c r="P136" i="6"/>
  <c r="P114" i="6"/>
  <c r="P82" i="6"/>
  <c r="P50" i="6"/>
  <c r="P26" i="6"/>
  <c r="P2" i="6"/>
  <c r="P242" i="6"/>
  <c r="P238" i="6"/>
  <c r="P234" i="6"/>
  <c r="P230" i="6"/>
  <c r="P226" i="6"/>
  <c r="P222" i="6"/>
  <c r="P210" i="6"/>
  <c r="P206" i="6"/>
  <c r="P198" i="6"/>
  <c r="P186" i="6"/>
  <c r="P182" i="6"/>
  <c r="P166" i="6"/>
  <c r="P162" i="6"/>
  <c r="P158" i="6"/>
  <c r="P154" i="6"/>
  <c r="P150" i="6"/>
  <c r="P146" i="6"/>
  <c r="P138" i="6"/>
  <c r="P134" i="6"/>
  <c r="P126" i="6"/>
  <c r="P118" i="6"/>
  <c r="P110" i="6"/>
  <c r="P102" i="6"/>
  <c r="P94" i="6"/>
  <c r="P86" i="6"/>
  <c r="P78" i="6"/>
  <c r="P70" i="6"/>
  <c r="P62" i="6"/>
  <c r="P46" i="6"/>
  <c r="P38" i="6"/>
  <c r="P30" i="6"/>
  <c r="P3" i="6"/>
  <c r="P10" i="6"/>
  <c r="P6" i="6"/>
  <c r="P133" i="6"/>
  <c r="P129" i="6"/>
  <c r="P125" i="6"/>
  <c r="P121" i="6"/>
  <c r="P117" i="6"/>
  <c r="P113" i="6"/>
  <c r="P109" i="6"/>
  <c r="P105" i="6"/>
  <c r="P101" i="6"/>
  <c r="P97" i="6"/>
  <c r="P93" i="6"/>
  <c r="P89" i="6"/>
  <c r="P85" i="6"/>
  <c r="P81" i="6"/>
  <c r="P77" i="6"/>
  <c r="P73" i="6"/>
  <c r="P69" i="6"/>
  <c r="P65" i="6"/>
  <c r="P61" i="6"/>
  <c r="P57" i="6"/>
  <c r="P53" i="6"/>
  <c r="P49" i="6"/>
  <c r="P45" i="6"/>
  <c r="P41" i="6"/>
  <c r="P37" i="6"/>
  <c r="P33" i="6"/>
  <c r="P29" i="6"/>
  <c r="P25" i="6"/>
  <c r="P21" i="6"/>
  <c r="P17" i="6"/>
  <c r="P13" i="6"/>
  <c r="P9" i="6"/>
  <c r="P5" i="6"/>
  <c r="P132" i="6"/>
  <c r="P128" i="6"/>
  <c r="P124" i="6"/>
  <c r="P120" i="6"/>
  <c r="P116" i="6"/>
  <c r="P112" i="6"/>
  <c r="P108" i="6"/>
  <c r="P104" i="6"/>
  <c r="P100" i="6"/>
  <c r="P96" i="6"/>
  <c r="P92" i="6"/>
  <c r="P88" i="6"/>
  <c r="P84" i="6"/>
  <c r="P80" i="6"/>
  <c r="P76" i="6"/>
  <c r="P72" i="6"/>
  <c r="P68" i="6"/>
  <c r="P64" i="6"/>
  <c r="P60" i="6"/>
  <c r="P56" i="6"/>
  <c r="P52" i="6"/>
  <c r="P48" i="6"/>
  <c r="P44" i="6"/>
  <c r="P40" i="6"/>
  <c r="P36" i="6"/>
  <c r="P32" i="6"/>
  <c r="P28" i="6"/>
  <c r="P24" i="6"/>
  <c r="P20" i="6"/>
  <c r="P15" i="6"/>
  <c r="P12" i="6"/>
  <c r="P8" i="6"/>
  <c r="P4" i="6"/>
  <c r="P19" i="6"/>
  <c r="P16" i="6"/>
  <c r="P11" i="6"/>
  <c r="P7" i="6"/>
  <c r="N21" i="6"/>
  <c r="N242" i="6"/>
  <c r="N237" i="6"/>
  <c r="N164" i="6"/>
  <c r="N207" i="6"/>
  <c r="N135" i="6"/>
  <c r="N226" i="6"/>
  <c r="N220" i="6"/>
  <c r="N211" i="6"/>
  <c r="N194" i="6"/>
  <c r="N185" i="6"/>
  <c r="N177" i="6"/>
  <c r="N168" i="6"/>
  <c r="N154" i="6"/>
  <c r="N146" i="6"/>
  <c r="N131" i="6"/>
  <c r="N120" i="6"/>
  <c r="N106" i="6"/>
  <c r="N99" i="6"/>
  <c r="N93" i="6"/>
  <c r="N85" i="6"/>
  <c r="N43" i="6"/>
  <c r="N25" i="6"/>
  <c r="N245" i="6"/>
  <c r="N239" i="6"/>
  <c r="N234" i="6"/>
  <c r="N231" i="6"/>
  <c r="N225" i="6"/>
  <c r="N222" i="6"/>
  <c r="N221" i="6"/>
  <c r="N213" i="6"/>
  <c r="N205" i="6"/>
  <c r="N224" i="6"/>
  <c r="N202" i="6"/>
  <c r="N191" i="6"/>
  <c r="N174" i="6"/>
  <c r="N157" i="6"/>
  <c r="N138" i="6"/>
  <c r="N124" i="6"/>
  <c r="N102" i="6"/>
  <c r="N89" i="6"/>
  <c r="N78" i="6"/>
  <c r="N56" i="6"/>
  <c r="N31" i="6"/>
  <c r="N243" i="6"/>
  <c r="N238" i="6"/>
  <c r="N236" i="6"/>
  <c r="N233" i="6"/>
  <c r="N230" i="6"/>
  <c r="N228" i="6"/>
  <c r="N219" i="6"/>
  <c r="N215" i="6"/>
  <c r="N208" i="6"/>
  <c r="N206" i="6"/>
  <c r="N204" i="6"/>
  <c r="N200" i="6"/>
  <c r="N196" i="6"/>
  <c r="N192" i="6"/>
  <c r="N187" i="6"/>
  <c r="N183" i="6"/>
  <c r="N179" i="6"/>
  <c r="N170" i="6"/>
  <c r="N166" i="6"/>
  <c r="N162" i="6"/>
  <c r="N159" i="6"/>
  <c r="N155" i="6"/>
  <c r="N152" i="6"/>
  <c r="N2" i="6"/>
  <c r="N64" i="6"/>
  <c r="N38" i="6"/>
  <c r="N74" i="6"/>
  <c r="N118" i="6"/>
  <c r="N7" i="6"/>
  <c r="N46" i="6"/>
  <c r="N240" i="6"/>
  <c r="N223" i="6"/>
  <c r="N217" i="6"/>
  <c r="N209" i="6"/>
  <c r="N198" i="6"/>
  <c r="N188" i="6"/>
  <c r="N181" i="6"/>
  <c r="N172" i="6"/>
  <c r="N161" i="6"/>
  <c r="N150" i="6"/>
  <c r="N142" i="6"/>
  <c r="N110" i="6"/>
  <c r="N103" i="6"/>
  <c r="N97" i="6"/>
  <c r="N82" i="6"/>
  <c r="N75" i="6"/>
  <c r="N70" i="6"/>
  <c r="N60" i="6"/>
  <c r="N41" i="6"/>
  <c r="N35" i="6"/>
  <c r="N24" i="6"/>
  <c r="N15" i="6"/>
  <c r="N12" i="6"/>
  <c r="N8" i="6"/>
  <c r="N4" i="6"/>
  <c r="N232" i="6"/>
  <c r="N190" i="6"/>
  <c r="N55" i="6"/>
  <c r="N244" i="6"/>
  <c r="N241" i="6"/>
  <c r="N235" i="6"/>
  <c r="N229" i="6"/>
  <c r="N227" i="6"/>
  <c r="N218" i="6"/>
  <c r="N214" i="6"/>
  <c r="N212" i="6"/>
  <c r="N203" i="6"/>
  <c r="N199" i="6"/>
  <c r="N195" i="6"/>
  <c r="N189" i="6"/>
  <c r="N186" i="6"/>
  <c r="N96" i="6"/>
  <c r="N216" i="6"/>
  <c r="N210" i="6"/>
  <c r="N201" i="6"/>
  <c r="N197" i="6"/>
  <c r="N193" i="6"/>
  <c r="N184" i="6"/>
  <c r="N180" i="6"/>
  <c r="N176" i="6"/>
  <c r="N173" i="6"/>
  <c r="N171" i="6"/>
  <c r="N167" i="6"/>
  <c r="N163" i="6"/>
  <c r="N160" i="6"/>
  <c r="N156" i="6"/>
  <c r="N153" i="6"/>
  <c r="N149" i="6"/>
  <c r="N145" i="6"/>
  <c r="N141" i="6"/>
  <c r="N134" i="6"/>
  <c r="N130" i="6"/>
  <c r="N127" i="6"/>
  <c r="N123" i="6"/>
  <c r="N115" i="6"/>
  <c r="N113" i="6"/>
  <c r="N109" i="6"/>
  <c r="N98" i="6"/>
  <c r="N92" i="6"/>
  <c r="N91" i="6"/>
  <c r="N88" i="6"/>
  <c r="N81" i="6"/>
  <c r="N80" i="6"/>
  <c r="N77" i="6"/>
  <c r="N69" i="6"/>
  <c r="N67" i="6"/>
  <c r="N59" i="6"/>
  <c r="N54" i="6"/>
  <c r="N51" i="6"/>
  <c r="N49" i="6"/>
  <c r="N45" i="6"/>
  <c r="N40" i="6"/>
  <c r="N34" i="6"/>
  <c r="N30" i="6"/>
  <c r="N28" i="6"/>
  <c r="N23" i="6"/>
  <c r="N19" i="6"/>
  <c r="N16" i="6"/>
  <c r="N11" i="6"/>
  <c r="N3" i="6"/>
  <c r="N148" i="6"/>
  <c r="N144" i="6"/>
  <c r="N140" i="6"/>
  <c r="N137" i="6"/>
  <c r="N133" i="6"/>
  <c r="N129" i="6"/>
  <c r="N126" i="6"/>
  <c r="N122" i="6"/>
  <c r="N119" i="6"/>
  <c r="N117" i="6"/>
  <c r="N114" i="6"/>
  <c r="N112" i="6"/>
  <c r="N108" i="6"/>
  <c r="N105" i="6"/>
  <c r="N101" i="6"/>
  <c r="N95" i="6"/>
  <c r="N90" i="6"/>
  <c r="N87" i="6"/>
  <c r="N84" i="6"/>
  <c r="N76" i="6"/>
  <c r="N73" i="6"/>
  <c r="N66" i="6"/>
  <c r="N63" i="6"/>
  <c r="N62" i="6"/>
  <c r="N58" i="6"/>
  <c r="N53" i="6"/>
  <c r="N48" i="6"/>
  <c r="N44" i="6"/>
  <c r="N42" i="6"/>
  <c r="N39" i="6"/>
  <c r="N37" i="6"/>
  <c r="N182" i="6"/>
  <c r="N178" i="6"/>
  <c r="N175" i="6"/>
  <c r="N169" i="6"/>
  <c r="N165" i="6"/>
  <c r="N158" i="6"/>
  <c r="N151" i="6"/>
  <c r="N147" i="6"/>
  <c r="N143" i="6"/>
  <c r="N139" i="6"/>
  <c r="N136" i="6"/>
  <c r="N132" i="6"/>
  <c r="N128" i="6"/>
  <c r="N125" i="6"/>
  <c r="N121" i="6"/>
  <c r="N116" i="6"/>
  <c r="N111" i="6"/>
  <c r="N107" i="6"/>
  <c r="N104" i="6"/>
  <c r="N100" i="6"/>
  <c r="N94" i="6"/>
  <c r="N86" i="6"/>
  <c r="N83" i="6"/>
  <c r="N79" i="6"/>
  <c r="N72" i="6"/>
  <c r="N71" i="6"/>
  <c r="N68" i="6"/>
  <c r="N65" i="6"/>
  <c r="N61" i="6"/>
  <c r="N57" i="6"/>
  <c r="N33" i="6"/>
  <c r="N27" i="6"/>
  <c r="N22" i="6"/>
  <c r="N18" i="6"/>
  <c r="N14" i="6"/>
  <c r="N10" i="6"/>
  <c r="N6" i="6"/>
  <c r="N52" i="6"/>
  <c r="N50" i="6"/>
  <c r="N47" i="6"/>
  <c r="N36" i="6"/>
  <c r="N32" i="6"/>
  <c r="N29" i="6"/>
  <c r="N26" i="6"/>
  <c r="N20" i="6"/>
  <c r="N17" i="6"/>
  <c r="N13" i="6"/>
  <c r="N9" i="6"/>
  <c r="N5" i="6"/>
  <c r="N2" i="2"/>
  <c r="N3" i="2"/>
  <c r="N4" i="2"/>
  <c r="N5" i="2"/>
  <c r="N6" i="2"/>
  <c r="N7" i="2"/>
  <c r="N8" i="2"/>
  <c r="N10" i="2" l="1"/>
  <c r="N14" i="2"/>
  <c r="N9" i="2"/>
  <c r="N38" i="2"/>
  <c r="N28" i="2"/>
  <c r="N58" i="2"/>
  <c r="N23" i="2"/>
  <c r="N11" i="2"/>
  <c r="N20" i="2"/>
  <c r="N12" i="2"/>
  <c r="N21" i="2"/>
  <c r="N35" i="2"/>
  <c r="N13" i="2"/>
  <c r="N17" i="2"/>
  <c r="N16" i="2"/>
  <c r="N19" i="2"/>
  <c r="N40" i="2"/>
  <c r="N31" i="2"/>
  <c r="N29" i="2"/>
  <c r="N26" i="2"/>
  <c r="N66" i="2"/>
  <c r="N33" i="2"/>
  <c r="N15" i="2"/>
  <c r="N34" i="2"/>
  <c r="N18" i="2"/>
  <c r="N22" i="2"/>
  <c r="N24" i="2"/>
  <c r="N30" i="2"/>
  <c r="N44" i="2"/>
  <c r="N27" i="2"/>
  <c r="N39" i="2"/>
  <c r="N32" i="2"/>
  <c r="N41" i="2"/>
  <c r="N42" i="2"/>
  <c r="N52" i="2"/>
  <c r="N51" i="2"/>
  <c r="N37" i="2"/>
  <c r="N36" i="2"/>
  <c r="N46" i="2"/>
  <c r="N43" i="2"/>
  <c r="N45" i="2"/>
  <c r="N68" i="2"/>
  <c r="N54" i="2"/>
  <c r="N47" i="2"/>
  <c r="N50" i="2"/>
  <c r="N48" i="2"/>
  <c r="N69" i="2"/>
  <c r="N49" i="2"/>
  <c r="N53" i="2"/>
  <c r="N59" i="2"/>
  <c r="N55" i="2"/>
  <c r="N62" i="2"/>
  <c r="N60" i="2"/>
  <c r="N56" i="2"/>
  <c r="N57" i="2"/>
  <c r="N61" i="2"/>
  <c r="N84" i="2"/>
  <c r="N63" i="2"/>
  <c r="N64" i="2"/>
  <c r="N65" i="2"/>
  <c r="N83" i="2"/>
  <c r="N92" i="2"/>
  <c r="N74" i="2"/>
  <c r="N67" i="2"/>
  <c r="N95" i="2"/>
  <c r="N77" i="2"/>
  <c r="N75" i="2"/>
  <c r="N71" i="2"/>
  <c r="N70" i="2"/>
  <c r="N72" i="2"/>
  <c r="N79" i="2"/>
  <c r="N81" i="2"/>
  <c r="N73" i="2"/>
  <c r="N76" i="2"/>
  <c r="N78" i="2"/>
  <c r="N80" i="2"/>
  <c r="N94" i="2"/>
  <c r="N82" i="2"/>
  <c r="N91" i="2"/>
  <c r="N99" i="2"/>
  <c r="N85" i="2"/>
  <c r="N86" i="2"/>
  <c r="N87" i="2"/>
  <c r="N88" i="2"/>
  <c r="N90" i="2"/>
  <c r="N89" i="2"/>
  <c r="N93" i="2"/>
  <c r="N117" i="2"/>
  <c r="N96" i="2"/>
  <c r="N97" i="2"/>
  <c r="N98" i="2"/>
  <c r="N102" i="2"/>
  <c r="N100" i="2"/>
  <c r="N101" i="2"/>
  <c r="N103" i="2"/>
  <c r="N104" i="2"/>
  <c r="N105" i="2"/>
  <c r="N106" i="2"/>
  <c r="N126" i="2"/>
  <c r="N107" i="2"/>
  <c r="N108" i="2"/>
  <c r="N109" i="2"/>
  <c r="N112" i="2"/>
  <c r="N110" i="2"/>
  <c r="N111" i="2"/>
  <c r="N113" i="2"/>
  <c r="N114" i="2"/>
  <c r="N115" i="2"/>
  <c r="N116" i="2"/>
  <c r="N128" i="2"/>
  <c r="N118" i="2"/>
  <c r="N122" i="2"/>
  <c r="N121" i="2"/>
  <c r="N119" i="2"/>
  <c r="N123" i="2"/>
  <c r="N120" i="2"/>
  <c r="N124" i="2"/>
  <c r="N125" i="2"/>
  <c r="N127" i="2"/>
  <c r="N129" i="2"/>
  <c r="N130" i="2"/>
  <c r="N133" i="2"/>
  <c r="N131" i="2"/>
  <c r="N132" i="2"/>
  <c r="N134" i="2"/>
  <c r="N136" i="2"/>
  <c r="N137" i="2"/>
  <c r="N135" i="2"/>
  <c r="N139" i="2"/>
  <c r="N140" i="2"/>
  <c r="N138" i="2"/>
  <c r="N141" i="2"/>
  <c r="N142" i="2"/>
  <c r="N143" i="2"/>
  <c r="N144" i="2"/>
  <c r="N145" i="2"/>
  <c r="N147" i="2"/>
  <c r="N146" i="2"/>
  <c r="N148" i="2"/>
  <c r="N149" i="2"/>
  <c r="N150" i="2"/>
  <c r="N233" i="2"/>
  <c r="N186" i="2"/>
  <c r="N239" i="2"/>
  <c r="N201" i="2"/>
  <c r="N242" i="2"/>
  <c r="N204" i="2"/>
  <c r="N243" i="2"/>
  <c r="N206" i="2"/>
  <c r="N214" i="2"/>
  <c r="N158" i="2"/>
  <c r="N232" i="2"/>
  <c r="N189" i="2"/>
  <c r="N236" i="2"/>
  <c r="N198" i="2"/>
  <c r="N237" i="2"/>
  <c r="N200" i="2"/>
  <c r="N210" i="2"/>
  <c r="N153" i="2"/>
  <c r="N212" i="2"/>
  <c r="N155" i="2"/>
  <c r="N215" i="2"/>
  <c r="N167" i="2"/>
  <c r="N226" i="2"/>
  <c r="N174" i="2"/>
  <c r="N157" i="2"/>
  <c r="N159" i="2"/>
  <c r="N191" i="2"/>
  <c r="N173" i="2"/>
  <c r="N219" i="2"/>
  <c r="N163" i="2"/>
  <c r="N221" i="2"/>
  <c r="N165" i="2"/>
  <c r="N179" i="2"/>
  <c r="N181" i="2"/>
  <c r="N234" i="2"/>
  <c r="N187" i="2"/>
  <c r="N240" i="2"/>
  <c r="N202" i="2"/>
  <c r="N245" i="2"/>
  <c r="N205" i="2"/>
  <c r="N244" i="2"/>
  <c r="N207" i="2"/>
  <c r="N216" i="2"/>
  <c r="N160" i="2"/>
  <c r="N235" i="2"/>
  <c r="N190" i="2"/>
  <c r="N238" i="2"/>
  <c r="N199" i="2"/>
  <c r="N241" i="2"/>
  <c r="N203" i="2"/>
  <c r="N211" i="2"/>
  <c r="N154" i="2"/>
  <c r="N213" i="2"/>
  <c r="N156" i="2"/>
  <c r="N224" i="2"/>
  <c r="N169" i="2"/>
  <c r="N229" i="2"/>
  <c r="N176" i="2"/>
  <c r="N185" i="2"/>
  <c r="N227" i="2"/>
  <c r="N171" i="2"/>
  <c r="N193" i="2"/>
  <c r="N196" i="2"/>
  <c r="N217" i="2"/>
  <c r="N161" i="2"/>
  <c r="N222" i="2"/>
  <c r="N166" i="2"/>
  <c r="N230" i="2"/>
  <c r="N177" i="2"/>
  <c r="N182" i="2"/>
  <c r="N192" i="2"/>
  <c r="N175" i="2"/>
  <c r="N194" i="2"/>
  <c r="N220" i="2"/>
  <c r="N164" i="2"/>
  <c r="N223" i="2"/>
  <c r="N168" i="2"/>
  <c r="N180" i="2"/>
  <c r="N183" i="2"/>
  <c r="N188" i="2"/>
  <c r="N228" i="2"/>
  <c r="N172" i="2"/>
  <c r="N195" i="2"/>
  <c r="N197" i="2"/>
  <c r="N218" i="2"/>
  <c r="N162" i="2"/>
  <c r="N225" i="2"/>
  <c r="N170" i="2"/>
  <c r="N231" i="2"/>
  <c r="N178" i="2"/>
  <c r="N184" i="2"/>
  <c r="N208" i="2"/>
  <c r="N151" i="2"/>
  <c r="N209" i="2"/>
  <c r="N152" i="2"/>
  <c r="N25" i="2"/>
  <c r="J152" i="2"/>
  <c r="L152" i="2" s="1"/>
  <c r="J209" i="2"/>
  <c r="L209" i="2" s="1"/>
  <c r="J151" i="2"/>
  <c r="L151" i="2" s="1"/>
  <c r="J208" i="2"/>
  <c r="L208" i="2" s="1"/>
  <c r="J184" i="2"/>
  <c r="J178" i="2"/>
  <c r="J231" i="2"/>
  <c r="J170" i="2"/>
  <c r="J225" i="2"/>
  <c r="J162" i="2"/>
  <c r="J218" i="2"/>
  <c r="J159" i="2"/>
  <c r="J197" i="2"/>
  <c r="J195" i="2"/>
  <c r="J172" i="2"/>
  <c r="J228" i="2"/>
  <c r="J188" i="2"/>
  <c r="J183" i="2"/>
  <c r="J180" i="2"/>
  <c r="J168" i="2"/>
  <c r="J223" i="2"/>
  <c r="J164" i="2"/>
  <c r="J220" i="2"/>
  <c r="J194" i="2"/>
  <c r="J175" i="2"/>
  <c r="J192" i="2"/>
  <c r="J182" i="2"/>
  <c r="J177" i="2"/>
  <c r="J230" i="2"/>
  <c r="J166" i="2"/>
  <c r="J222" i="2"/>
  <c r="J161" i="2"/>
  <c r="J217" i="2"/>
  <c r="J157" i="2"/>
  <c r="J196" i="2"/>
  <c r="J193" i="2"/>
  <c r="J171" i="2"/>
  <c r="J227" i="2"/>
  <c r="J185" i="2"/>
  <c r="J176" i="2"/>
  <c r="J229" i="2"/>
  <c r="J174" i="2"/>
  <c r="J226" i="2"/>
  <c r="J169" i="2"/>
  <c r="J224" i="2"/>
  <c r="J167" i="2"/>
  <c r="J215" i="2"/>
  <c r="J156" i="2"/>
  <c r="J213" i="2"/>
  <c r="J155" i="2"/>
  <c r="J212" i="2"/>
  <c r="J154" i="2"/>
  <c r="J211" i="2"/>
  <c r="J153" i="2"/>
  <c r="J210" i="2"/>
  <c r="J203" i="2"/>
  <c r="J241" i="2"/>
  <c r="J200" i="2"/>
  <c r="J237" i="2"/>
  <c r="J199" i="2"/>
  <c r="J238" i="2"/>
  <c r="J198" i="2"/>
  <c r="J236" i="2"/>
  <c r="J190" i="2"/>
  <c r="J235" i="2"/>
  <c r="J189" i="2"/>
  <c r="J232" i="2"/>
  <c r="J160" i="2"/>
  <c r="J216" i="2"/>
  <c r="J158" i="2"/>
  <c r="J214" i="2"/>
  <c r="J207" i="2"/>
  <c r="J244" i="2"/>
  <c r="J206" i="2"/>
  <c r="J243" i="2"/>
  <c r="J205" i="2"/>
  <c r="J245" i="2"/>
  <c r="J204" i="2"/>
  <c r="J242" i="2"/>
  <c r="J202" i="2"/>
  <c r="J240" i="2"/>
  <c r="J201" i="2"/>
  <c r="J239" i="2"/>
  <c r="J187" i="2"/>
  <c r="J234" i="2"/>
  <c r="J186" i="2"/>
  <c r="J233" i="2"/>
  <c r="J181" i="2"/>
  <c r="J179" i="2"/>
  <c r="J165" i="2"/>
  <c r="J221" i="2"/>
  <c r="J163" i="2"/>
  <c r="J219" i="2"/>
  <c r="J173" i="2"/>
  <c r="J191" i="2"/>
  <c r="J150" i="2"/>
  <c r="J149" i="2"/>
  <c r="J148" i="2"/>
  <c r="J146" i="2"/>
  <c r="J147" i="2"/>
  <c r="J145" i="2"/>
  <c r="J144" i="2"/>
  <c r="J143" i="2"/>
  <c r="J142" i="2"/>
  <c r="J141" i="2"/>
  <c r="J138" i="2"/>
  <c r="J140" i="2"/>
  <c r="J139" i="2"/>
  <c r="J135" i="2"/>
  <c r="J137" i="2"/>
  <c r="J136" i="2"/>
  <c r="J134" i="2"/>
  <c r="J132" i="2"/>
  <c r="J131" i="2"/>
  <c r="J133" i="2"/>
  <c r="J130" i="2"/>
  <c r="J129" i="2"/>
  <c r="J127" i="2"/>
  <c r="J125" i="2"/>
  <c r="J124" i="2"/>
  <c r="J120" i="2"/>
  <c r="J123" i="2"/>
  <c r="J119" i="2"/>
  <c r="J121" i="2"/>
  <c r="J122" i="2"/>
  <c r="J118" i="2"/>
  <c r="J128" i="2"/>
  <c r="J116" i="2"/>
  <c r="J115" i="2"/>
  <c r="J114" i="2"/>
  <c r="J113" i="2"/>
  <c r="J111" i="2"/>
  <c r="J110" i="2"/>
  <c r="J112" i="2"/>
  <c r="J109" i="2"/>
  <c r="J108" i="2"/>
  <c r="J107" i="2"/>
  <c r="J126" i="2"/>
  <c r="J106" i="2"/>
  <c r="J105" i="2"/>
  <c r="J104" i="2"/>
  <c r="J103" i="2"/>
  <c r="J101" i="2"/>
  <c r="J100" i="2"/>
  <c r="J102" i="2"/>
  <c r="J98" i="2"/>
  <c r="J97" i="2"/>
  <c r="J96" i="2"/>
  <c r="J117" i="2"/>
  <c r="J93" i="2"/>
  <c r="J89" i="2"/>
  <c r="J90" i="2"/>
  <c r="J88" i="2"/>
  <c r="J87" i="2"/>
  <c r="J86" i="2"/>
  <c r="J85" i="2"/>
  <c r="J99" i="2"/>
  <c r="J91" i="2"/>
  <c r="J82" i="2"/>
  <c r="J94" i="2"/>
  <c r="J80" i="2"/>
  <c r="J78" i="2"/>
  <c r="J76" i="2"/>
  <c r="J73" i="2"/>
  <c r="J81" i="2"/>
  <c r="J79" i="2"/>
  <c r="J72" i="2"/>
  <c r="J70" i="2"/>
  <c r="J71" i="2"/>
  <c r="J75" i="2"/>
  <c r="J77" i="2"/>
  <c r="J95" i="2"/>
  <c r="J67" i="2"/>
  <c r="J74" i="2"/>
  <c r="J92" i="2"/>
  <c r="J83" i="2"/>
  <c r="J65" i="2"/>
  <c r="J64" i="2"/>
  <c r="J63" i="2"/>
  <c r="J84" i="2"/>
  <c r="J61" i="2"/>
  <c r="J57" i="2"/>
  <c r="J56" i="2"/>
  <c r="J60" i="2"/>
  <c r="J62" i="2"/>
  <c r="J55" i="2"/>
  <c r="J59" i="2"/>
  <c r="J53" i="2"/>
  <c r="J49" i="2"/>
  <c r="J69" i="2"/>
  <c r="J48" i="2"/>
  <c r="J50" i="2"/>
  <c r="J47" i="2"/>
  <c r="J54" i="2"/>
  <c r="J68" i="2"/>
  <c r="J45" i="2"/>
  <c r="J43" i="2"/>
  <c r="J46" i="2"/>
  <c r="J36" i="2"/>
  <c r="J37" i="2"/>
  <c r="J51" i="2"/>
  <c r="J52" i="2"/>
  <c r="J42" i="2"/>
  <c r="J41" i="2"/>
  <c r="J32" i="2"/>
  <c r="J39" i="2"/>
  <c r="J27" i="2"/>
  <c r="J44" i="2"/>
  <c r="J30" i="2"/>
  <c r="J24" i="2"/>
  <c r="J22" i="2"/>
  <c r="J18" i="2"/>
  <c r="J34" i="2"/>
  <c r="J15" i="2"/>
  <c r="J33" i="2"/>
  <c r="J66" i="2"/>
  <c r="J26" i="2"/>
  <c r="J29" i="2"/>
  <c r="J31" i="2"/>
  <c r="J40" i="2"/>
  <c r="J19" i="2"/>
  <c r="J16" i="2"/>
  <c r="J17" i="2"/>
  <c r="J13" i="2"/>
  <c r="J35" i="2"/>
  <c r="J8" i="2"/>
  <c r="J21" i="2"/>
  <c r="J12" i="2"/>
  <c r="J5" i="2"/>
  <c r="J20" i="2"/>
  <c r="J11" i="2"/>
  <c r="J23" i="2"/>
  <c r="J6" i="2"/>
  <c r="J58" i="2"/>
  <c r="J28" i="2"/>
  <c r="J38" i="2"/>
  <c r="J7" i="2"/>
  <c r="J9" i="2"/>
  <c r="J3" i="2"/>
  <c r="J2" i="2"/>
  <c r="J14" i="2"/>
  <c r="J4" i="2"/>
  <c r="J10" i="2"/>
  <c r="J25" i="2"/>
  <c r="M71" i="2" l="1"/>
  <c r="M7" i="2"/>
  <c r="M10" i="2"/>
  <c r="M21" i="2"/>
  <c r="M5" i="2"/>
  <c r="M28" i="2"/>
  <c r="M3" i="2"/>
  <c r="M11" i="2"/>
  <c r="M17" i="2"/>
  <c r="M14" i="2"/>
  <c r="M6" i="2"/>
  <c r="M35" i="2"/>
  <c r="M25" i="2"/>
  <c r="M4" i="2"/>
  <c r="M2" i="2"/>
  <c r="M9" i="2"/>
  <c r="M38" i="2"/>
  <c r="M58" i="2"/>
  <c r="M23" i="2"/>
  <c r="M20" i="2"/>
  <c r="M12" i="2"/>
  <c r="M8" i="2"/>
  <c r="M13" i="2"/>
  <c r="M16" i="2"/>
  <c r="M40" i="2"/>
  <c r="M29" i="2"/>
  <c r="M66" i="2"/>
  <c r="M15" i="2"/>
  <c r="M18" i="2"/>
  <c r="M24" i="2"/>
  <c r="M44" i="2"/>
  <c r="M39" i="2"/>
  <c r="M41" i="2"/>
  <c r="M52" i="2"/>
  <c r="M37" i="2"/>
  <c r="M46" i="2"/>
  <c r="M45" i="2"/>
  <c r="M54" i="2"/>
  <c r="M50" i="2"/>
  <c r="M69" i="2"/>
  <c r="M53" i="2"/>
  <c r="M55" i="2"/>
  <c r="M60" i="2"/>
  <c r="M57" i="2"/>
  <c r="M84" i="2"/>
  <c r="M64" i="2"/>
  <c r="M83" i="2"/>
  <c r="M74" i="2"/>
  <c r="M95" i="2"/>
  <c r="M75" i="2"/>
  <c r="M19" i="2"/>
  <c r="M31" i="2"/>
  <c r="M26" i="2"/>
  <c r="M33" i="2"/>
  <c r="M34" i="2"/>
  <c r="M22" i="2"/>
  <c r="M30" i="2"/>
  <c r="M27" i="2"/>
  <c r="M32" i="2"/>
  <c r="M42" i="2"/>
  <c r="M51" i="2"/>
  <c r="M36" i="2"/>
  <c r="M43" i="2"/>
  <c r="M68" i="2"/>
  <c r="M47" i="2"/>
  <c r="M48" i="2"/>
  <c r="M49" i="2"/>
  <c r="M59" i="2"/>
  <c r="M62" i="2"/>
  <c r="M56" i="2"/>
  <c r="M61" i="2"/>
  <c r="M63" i="2"/>
  <c r="M65" i="2"/>
  <c r="M92" i="2"/>
  <c r="M67" i="2"/>
  <c r="M77" i="2"/>
  <c r="M209" i="2"/>
  <c r="M151" i="2"/>
  <c r="M152" i="2"/>
  <c r="M208" i="2"/>
  <c r="M178" i="2"/>
  <c r="M170" i="2"/>
  <c r="M162" i="2"/>
  <c r="M159" i="2"/>
  <c r="M195" i="2"/>
  <c r="M228" i="2"/>
  <c r="M183" i="2"/>
  <c r="M168" i="2"/>
  <c r="M164" i="2"/>
  <c r="M194" i="2"/>
  <c r="M192" i="2"/>
  <c r="M177" i="2"/>
  <c r="M166" i="2"/>
  <c r="M161" i="2"/>
  <c r="M157" i="2"/>
  <c r="M193" i="2"/>
  <c r="M227" i="2"/>
  <c r="M176" i="2"/>
  <c r="M174" i="2"/>
  <c r="M169" i="2"/>
  <c r="M167" i="2"/>
  <c r="M156" i="2"/>
  <c r="M155" i="2"/>
  <c r="M154" i="2"/>
  <c r="M153" i="2"/>
  <c r="M203" i="2"/>
  <c r="M200" i="2"/>
  <c r="M199" i="2"/>
  <c r="M198" i="2"/>
  <c r="M190" i="2"/>
  <c r="M189" i="2"/>
  <c r="M160" i="2"/>
  <c r="M158" i="2"/>
  <c r="M207" i="2"/>
  <c r="M206" i="2"/>
  <c r="M205" i="2"/>
  <c r="M204" i="2"/>
  <c r="M202" i="2"/>
  <c r="M201" i="2"/>
  <c r="M187" i="2"/>
  <c r="M186" i="2"/>
  <c r="M181" i="2"/>
  <c r="M165" i="2"/>
  <c r="M163" i="2"/>
  <c r="M173" i="2"/>
  <c r="M150" i="2"/>
  <c r="M148" i="2"/>
  <c r="M147" i="2"/>
  <c r="M144" i="2"/>
  <c r="M142" i="2"/>
  <c r="M138" i="2"/>
  <c r="M139" i="2"/>
  <c r="M137" i="2"/>
  <c r="M134" i="2"/>
  <c r="M131" i="2"/>
  <c r="M130" i="2"/>
  <c r="M127" i="2"/>
  <c r="M124" i="2"/>
  <c r="M123" i="2"/>
  <c r="M121" i="2"/>
  <c r="M118" i="2"/>
  <c r="M116" i="2"/>
  <c r="M114" i="2"/>
  <c r="M111" i="2"/>
  <c r="M112" i="2"/>
  <c r="M108" i="2"/>
  <c r="M126" i="2"/>
  <c r="M105" i="2"/>
  <c r="M103" i="2"/>
  <c r="M100" i="2"/>
  <c r="M98" i="2"/>
  <c r="M96" i="2"/>
  <c r="M93" i="2"/>
  <c r="M90" i="2"/>
  <c r="M87" i="2"/>
  <c r="M85" i="2"/>
  <c r="M91" i="2"/>
  <c r="M94" i="2"/>
  <c r="M78" i="2"/>
  <c r="M73" i="2"/>
  <c r="M79" i="2"/>
  <c r="M70" i="2"/>
  <c r="M184" i="2"/>
  <c r="M231" i="2"/>
  <c r="M225" i="2"/>
  <c r="M218" i="2"/>
  <c r="M197" i="2"/>
  <c r="M172" i="2"/>
  <c r="M188" i="2"/>
  <c r="M180" i="2"/>
  <c r="M223" i="2"/>
  <c r="M220" i="2"/>
  <c r="M175" i="2"/>
  <c r="M182" i="2"/>
  <c r="M230" i="2"/>
  <c r="M222" i="2"/>
  <c r="M217" i="2"/>
  <c r="M196" i="2"/>
  <c r="M171" i="2"/>
  <c r="M185" i="2"/>
  <c r="M229" i="2"/>
  <c r="M226" i="2"/>
  <c r="M224" i="2"/>
  <c r="M215" i="2"/>
  <c r="M213" i="2"/>
  <c r="M212" i="2"/>
  <c r="M211" i="2"/>
  <c r="M210" i="2"/>
  <c r="M241" i="2"/>
  <c r="M237" i="2"/>
  <c r="M238" i="2"/>
  <c r="M236" i="2"/>
  <c r="M235" i="2"/>
  <c r="M232" i="2"/>
  <c r="M216" i="2"/>
  <c r="M214" i="2"/>
  <c r="M244" i="2"/>
  <c r="M243" i="2"/>
  <c r="M245" i="2"/>
  <c r="M242" i="2"/>
  <c r="M240" i="2"/>
  <c r="M239" i="2"/>
  <c r="M234" i="2"/>
  <c r="M233" i="2"/>
  <c r="M179" i="2"/>
  <c r="M221" i="2"/>
  <c r="M219" i="2"/>
  <c r="M191" i="2"/>
  <c r="M149" i="2"/>
  <c r="M146" i="2"/>
  <c r="M145" i="2"/>
  <c r="M143" i="2"/>
  <c r="M141" i="2"/>
  <c r="M140" i="2"/>
  <c r="M135" i="2"/>
  <c r="M136" i="2"/>
  <c r="M132" i="2"/>
  <c r="M133" i="2"/>
  <c r="M129" i="2"/>
  <c r="M125" i="2"/>
  <c r="M120" i="2"/>
  <c r="M119" i="2"/>
  <c r="M122" i="2"/>
  <c r="M128" i="2"/>
  <c r="M115" i="2"/>
  <c r="M113" i="2"/>
  <c r="M110" i="2"/>
  <c r="M109" i="2"/>
  <c r="M107" i="2"/>
  <c r="M106" i="2"/>
  <c r="M104" i="2"/>
  <c r="M101" i="2"/>
  <c r="M102" i="2"/>
  <c r="M97" i="2"/>
  <c r="M117" i="2"/>
  <c r="M89" i="2"/>
  <c r="M88" i="2"/>
  <c r="M86" i="2"/>
  <c r="M99" i="2"/>
  <c r="M82" i="2"/>
  <c r="M80" i="2"/>
  <c r="M76" i="2"/>
  <c r="M81" i="2"/>
  <c r="M72" i="2"/>
  <c r="O152" i="2"/>
  <c r="O196" i="2"/>
  <c r="O35" i="2"/>
  <c r="O221" i="2"/>
  <c r="O183" i="2"/>
  <c r="O238" i="2"/>
  <c r="O237" i="2"/>
  <c r="O132" i="2"/>
  <c r="O149" i="2"/>
  <c r="O47" i="2"/>
  <c r="O115" i="2"/>
  <c r="O80" i="2"/>
  <c r="O102" i="2"/>
  <c r="O30" i="2"/>
  <c r="O65" i="2"/>
  <c r="O10" i="2"/>
  <c r="O208" i="2"/>
  <c r="O170" i="2"/>
  <c r="O197" i="2"/>
  <c r="O188" i="2"/>
  <c r="O223" i="2"/>
  <c r="O175" i="2"/>
  <c r="O230" i="2"/>
  <c r="O217" i="2"/>
  <c r="O227" i="2"/>
  <c r="O169" i="2"/>
  <c r="O154" i="2"/>
  <c r="O199" i="2"/>
  <c r="O160" i="2"/>
  <c r="O205" i="2"/>
  <c r="O187" i="2"/>
  <c r="O165" i="2"/>
  <c r="O173" i="2"/>
  <c r="O174" i="2"/>
  <c r="O155" i="2"/>
  <c r="O200" i="2"/>
  <c r="O189" i="2"/>
  <c r="O206" i="2"/>
  <c r="O201" i="2"/>
  <c r="O150" i="2"/>
  <c r="O147" i="2"/>
  <c r="O142" i="2"/>
  <c r="O139" i="2"/>
  <c r="O134" i="2"/>
  <c r="O130" i="2"/>
  <c r="O124" i="2"/>
  <c r="O121" i="2"/>
  <c r="O116" i="2"/>
  <c r="O111" i="2"/>
  <c r="O108" i="2"/>
  <c r="O105" i="2"/>
  <c r="O100" i="2"/>
  <c r="O96" i="2"/>
  <c r="O90" i="2"/>
  <c r="O85" i="2"/>
  <c r="O94" i="2"/>
  <c r="O73" i="2"/>
  <c r="O70" i="2"/>
  <c r="O95" i="2"/>
  <c r="O83" i="2"/>
  <c r="O84" i="2"/>
  <c r="O60" i="2"/>
  <c r="O53" i="2"/>
  <c r="O50" i="2"/>
  <c r="O45" i="2"/>
  <c r="O37" i="2"/>
  <c r="O41" i="2"/>
  <c r="O44" i="2"/>
  <c r="O18" i="2"/>
  <c r="O66" i="2"/>
  <c r="O40" i="2"/>
  <c r="O13" i="2"/>
  <c r="O12" i="2"/>
  <c r="O23" i="2"/>
  <c r="O38" i="2"/>
  <c r="O2" i="2"/>
  <c r="O184" i="2"/>
  <c r="O164" i="2"/>
  <c r="O185" i="2"/>
  <c r="O216" i="2"/>
  <c r="O191" i="2"/>
  <c r="O232" i="2"/>
  <c r="O145" i="2"/>
  <c r="O129" i="2"/>
  <c r="O110" i="2"/>
  <c r="O117" i="2"/>
  <c r="O81" i="2"/>
  <c r="O61" i="2"/>
  <c r="O43" i="2"/>
  <c r="O34" i="2"/>
  <c r="O5" i="2"/>
  <c r="O225" i="2"/>
  <c r="O192" i="2"/>
  <c r="O224" i="2"/>
  <c r="O245" i="2"/>
  <c r="O226" i="2"/>
  <c r="O243" i="2"/>
  <c r="O141" i="2"/>
  <c r="O120" i="2"/>
  <c r="O107" i="2"/>
  <c r="O88" i="2"/>
  <c r="O71" i="2"/>
  <c r="O62" i="2"/>
  <c r="O51" i="2"/>
  <c r="O26" i="2"/>
  <c r="O6" i="2"/>
  <c r="O195" i="2"/>
  <c r="O166" i="2"/>
  <c r="O211" i="2"/>
  <c r="O234" i="2"/>
  <c r="O212" i="2"/>
  <c r="O239" i="2"/>
  <c r="O135" i="2"/>
  <c r="O122" i="2"/>
  <c r="O104" i="2"/>
  <c r="O99" i="2"/>
  <c r="O67" i="2"/>
  <c r="O49" i="2"/>
  <c r="O32" i="2"/>
  <c r="O19" i="2"/>
  <c r="O7" i="2"/>
  <c r="O209" i="2"/>
  <c r="O178" i="2"/>
  <c r="O162" i="2"/>
  <c r="O172" i="2"/>
  <c r="O180" i="2"/>
  <c r="O220" i="2"/>
  <c r="O182" i="2"/>
  <c r="O222" i="2"/>
  <c r="O193" i="2"/>
  <c r="O176" i="2"/>
  <c r="O156" i="2"/>
  <c r="O203" i="2"/>
  <c r="O190" i="2"/>
  <c r="O207" i="2"/>
  <c r="O202" i="2"/>
  <c r="O181" i="2"/>
  <c r="O163" i="2"/>
  <c r="O159" i="2"/>
  <c r="O167" i="2"/>
  <c r="O153" i="2"/>
  <c r="O198" i="2"/>
  <c r="O158" i="2"/>
  <c r="O204" i="2"/>
  <c r="O186" i="2"/>
  <c r="O148" i="2"/>
  <c r="O144" i="2"/>
  <c r="O138" i="2"/>
  <c r="O137" i="2"/>
  <c r="O131" i="2"/>
  <c r="O127" i="2"/>
  <c r="O123" i="2"/>
  <c r="O118" i="2"/>
  <c r="O114" i="2"/>
  <c r="O112" i="2"/>
  <c r="O126" i="2"/>
  <c r="O103" i="2"/>
  <c r="O98" i="2"/>
  <c r="O93" i="2"/>
  <c r="O87" i="2"/>
  <c r="O91" i="2"/>
  <c r="O78" i="2"/>
  <c r="O79" i="2"/>
  <c r="O75" i="2"/>
  <c r="O74" i="2"/>
  <c r="O64" i="2"/>
  <c r="O57" i="2"/>
  <c r="O55" i="2"/>
  <c r="O69" i="2"/>
  <c r="O54" i="2"/>
  <c r="O46" i="2"/>
  <c r="O52" i="2"/>
  <c r="O39" i="2"/>
  <c r="O24" i="2"/>
  <c r="O15" i="2"/>
  <c r="O29" i="2"/>
  <c r="O16" i="2"/>
  <c r="O8" i="2"/>
  <c r="O20" i="2"/>
  <c r="O58" i="2"/>
  <c r="O9" i="2"/>
  <c r="O151" i="2"/>
  <c r="O218" i="2"/>
  <c r="O168" i="2"/>
  <c r="O161" i="2"/>
  <c r="O229" i="2"/>
  <c r="O241" i="2"/>
  <c r="O244" i="2"/>
  <c r="O179" i="2"/>
  <c r="O219" i="2"/>
  <c r="O157" i="2"/>
  <c r="O215" i="2"/>
  <c r="O210" i="2"/>
  <c r="O236" i="2"/>
  <c r="O242" i="2"/>
  <c r="O233" i="2"/>
  <c r="O146" i="2"/>
  <c r="O143" i="2"/>
  <c r="O140" i="2"/>
  <c r="O136" i="2"/>
  <c r="O133" i="2"/>
  <c r="O125" i="2"/>
  <c r="O119" i="2"/>
  <c r="O128" i="2"/>
  <c r="O113" i="2"/>
  <c r="O109" i="2"/>
  <c r="O106" i="2"/>
  <c r="O101" i="2"/>
  <c r="O97" i="2"/>
  <c r="O89" i="2"/>
  <c r="O86" i="2"/>
  <c r="O82" i="2"/>
  <c r="O76" i="2"/>
  <c r="O72" i="2"/>
  <c r="O77" i="2"/>
  <c r="O92" i="2"/>
  <c r="O63" i="2"/>
  <c r="O56" i="2"/>
  <c r="O59" i="2"/>
  <c r="O48" i="2"/>
  <c r="O68" i="2"/>
  <c r="O36" i="2"/>
  <c r="O42" i="2"/>
  <c r="O27" i="2"/>
  <c r="O22" i="2"/>
  <c r="O33" i="2"/>
  <c r="O31" i="2"/>
  <c r="O17" i="2"/>
  <c r="O21" i="2"/>
  <c r="O11" i="2"/>
  <c r="O28" i="2"/>
  <c r="O3" i="2"/>
  <c r="O231" i="2"/>
  <c r="O228" i="2"/>
  <c r="O194" i="2"/>
  <c r="O177" i="2"/>
  <c r="O171" i="2"/>
  <c r="O213" i="2"/>
  <c r="O235" i="2"/>
  <c r="O240" i="2"/>
  <c r="O214" i="2"/>
  <c r="O25" i="2"/>
  <c r="O14" i="2"/>
  <c r="O4" i="2"/>
</calcChain>
</file>

<file path=xl/sharedStrings.xml><?xml version="1.0" encoding="utf-8"?>
<sst xmlns="http://schemas.openxmlformats.org/spreadsheetml/2006/main" count="4006" uniqueCount="53">
  <si>
    <t>name.vec</t>
  </si>
  <si>
    <t>removal_type</t>
  </si>
  <si>
    <t>by_removal</t>
  </si>
  <si>
    <t>n_removal</t>
  </si>
  <si>
    <t>by_fertility</t>
  </si>
  <si>
    <t>n_fertility</t>
  </si>
  <si>
    <t>puma</t>
  </si>
  <si>
    <t>tasa</t>
  </si>
  <si>
    <t>Er</t>
  </si>
  <si>
    <t>Ef</t>
  </si>
  <si>
    <t>Rm</t>
  </si>
  <si>
    <t>ext50</t>
  </si>
  <si>
    <t>Re</t>
  </si>
  <si>
    <t>Erf</t>
  </si>
  <si>
    <t>IER</t>
  </si>
  <si>
    <t>IEM</t>
  </si>
  <si>
    <t>v2026</t>
  </si>
  <si>
    <t>any</t>
  </si>
  <si>
    <t>with</t>
  </si>
  <si>
    <t>mean</t>
  </si>
  <si>
    <t>NA</t>
  </si>
  <si>
    <t>Inf</t>
  </si>
  <si>
    <t>max</t>
  </si>
  <si>
    <t>without</t>
  </si>
  <si>
    <t>fixed</t>
  </si>
  <si>
    <t>proportional</t>
  </si>
  <si>
    <t>vlowdensity</t>
  </si>
  <si>
    <t>rank Re</t>
  </si>
  <si>
    <t>rank Rm</t>
  </si>
  <si>
    <t>IER original</t>
  </si>
  <si>
    <t>Rank IER o</t>
  </si>
  <si>
    <t>Rank IER a1</t>
  </si>
  <si>
    <t>IER a1</t>
  </si>
  <si>
    <t>fixed with mean</t>
  </si>
  <si>
    <t>proportional with mean</t>
  </si>
  <si>
    <t>fixed with max</t>
  </si>
  <si>
    <t>proportional with max</t>
  </si>
  <si>
    <t>2--2</t>
  </si>
  <si>
    <t>1--1</t>
  </si>
  <si>
    <t>0--1</t>
  </si>
  <si>
    <t>0--25</t>
  </si>
  <si>
    <t>fixed without mean</t>
  </si>
  <si>
    <t>fixed without max</t>
  </si>
  <si>
    <t>proportional without mean</t>
  </si>
  <si>
    <t>proportional without max</t>
  </si>
  <si>
    <t>IEM2</t>
  </si>
  <si>
    <t>rank IEM</t>
  </si>
  <si>
    <t>rank IEM2</t>
  </si>
  <si>
    <t>0--5</t>
  </si>
  <si>
    <t>5--5</t>
  </si>
  <si>
    <t>12--12</t>
  </si>
  <si>
    <t>0--50</t>
  </si>
  <si>
    <t>0--75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</si>
</sst>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9"/>
  <sheetViews>
    <sheetView zoomScale="124" zoomScaleNormal="124" workbookViewId="0">
      <selection activeCell="P6" sqref="P6"/>
    </sheetView>
  </sheetViews>
  <sheetFormatPr baseColWidth="10" defaultColWidth="11.5703125" defaultRowHeight="12.75" x14ac:dyDescent="0.2"/>
  <cols>
    <col min="1" max="1" width="11" customWidth="1"/>
    <col min="2" max="2" width="12.42578125" customWidth="1"/>
    <col min="3" max="3" width="10.85546875" customWidth="1"/>
    <col min="4" max="5" width="9.85546875" customWidth="1"/>
    <col min="6" max="6" width="9" customWidth="1"/>
    <col min="7" max="7" width="7.28515625" customWidth="1"/>
    <col min="8" max="8" width="5" customWidth="1"/>
    <col min="9" max="10" width="6" customWidth="1"/>
    <col min="11" max="11" width="19.5703125" customWidth="1"/>
    <col min="12" max="12" width="6" customWidth="1"/>
    <col min="13" max="13" width="7" customWidth="1"/>
    <col min="14" max="14" width="6" customWidth="1"/>
    <col min="15" max="15" width="19.7109375" customWidth="1"/>
    <col min="16" max="16" width="20.57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>
        <v>0</v>
      </c>
      <c r="D2">
        <v>0</v>
      </c>
      <c r="E2">
        <v>0</v>
      </c>
      <c r="F2">
        <v>0</v>
      </c>
      <c r="G2" t="s">
        <v>18</v>
      </c>
      <c r="H2" t="s">
        <v>19</v>
      </c>
      <c r="I2">
        <v>0</v>
      </c>
      <c r="J2">
        <v>0</v>
      </c>
      <c r="K2">
        <v>1.7576435582408099E-2</v>
      </c>
      <c r="L2">
        <v>0</v>
      </c>
      <c r="M2">
        <v>0</v>
      </c>
      <c r="N2">
        <v>0</v>
      </c>
      <c r="O2" t="s">
        <v>20</v>
      </c>
      <c r="P2" t="s">
        <v>21</v>
      </c>
    </row>
    <row r="3" spans="1:16" x14ac:dyDescent="0.2">
      <c r="A3" t="s">
        <v>16</v>
      </c>
      <c r="B3" t="s">
        <v>17</v>
      </c>
      <c r="C3">
        <v>0</v>
      </c>
      <c r="D3">
        <v>0</v>
      </c>
      <c r="E3">
        <v>0</v>
      </c>
      <c r="F3">
        <v>0</v>
      </c>
      <c r="G3" t="s">
        <v>18</v>
      </c>
      <c r="H3" t="s">
        <v>22</v>
      </c>
      <c r="I3">
        <v>0</v>
      </c>
      <c r="J3">
        <v>0</v>
      </c>
      <c r="K3">
        <v>9.2558311736393901E-3</v>
      </c>
      <c r="L3">
        <v>0</v>
      </c>
      <c r="M3">
        <v>0</v>
      </c>
      <c r="N3">
        <v>0</v>
      </c>
      <c r="O3" t="s">
        <v>20</v>
      </c>
      <c r="P3" t="s">
        <v>21</v>
      </c>
    </row>
    <row r="4" spans="1:16" x14ac:dyDescent="0.2">
      <c r="A4" t="s">
        <v>16</v>
      </c>
      <c r="B4" t="s">
        <v>17</v>
      </c>
      <c r="C4">
        <v>0</v>
      </c>
      <c r="D4">
        <v>0</v>
      </c>
      <c r="E4">
        <v>0</v>
      </c>
      <c r="F4">
        <v>0</v>
      </c>
      <c r="G4" t="s">
        <v>23</v>
      </c>
      <c r="H4" t="s">
        <v>19</v>
      </c>
      <c r="I4">
        <v>0</v>
      </c>
      <c r="J4">
        <v>0</v>
      </c>
      <c r="K4">
        <v>3.5558159599651802E-3</v>
      </c>
      <c r="L4">
        <v>0</v>
      </c>
      <c r="M4">
        <v>0</v>
      </c>
      <c r="N4">
        <v>0</v>
      </c>
      <c r="O4" t="s">
        <v>20</v>
      </c>
      <c r="P4" t="s">
        <v>21</v>
      </c>
    </row>
    <row r="5" spans="1:16" x14ac:dyDescent="0.2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 t="s">
        <v>23</v>
      </c>
      <c r="H5" t="s">
        <v>22</v>
      </c>
      <c r="I5">
        <v>0</v>
      </c>
      <c r="J5">
        <v>0</v>
      </c>
      <c r="K5">
        <v>2.8826751225136901E-3</v>
      </c>
      <c r="L5">
        <v>0</v>
      </c>
      <c r="M5">
        <v>0</v>
      </c>
      <c r="N5">
        <v>0</v>
      </c>
      <c r="O5" t="s">
        <v>20</v>
      </c>
      <c r="P5" t="s">
        <v>21</v>
      </c>
    </row>
    <row r="6" spans="1:16" x14ac:dyDescent="0.2">
      <c r="A6" t="s">
        <v>16</v>
      </c>
      <c r="B6" t="s">
        <v>24</v>
      </c>
      <c r="C6">
        <v>1</v>
      </c>
      <c r="D6">
        <v>25</v>
      </c>
      <c r="E6">
        <v>0</v>
      </c>
      <c r="F6">
        <v>0</v>
      </c>
      <c r="G6" t="s">
        <v>18</v>
      </c>
      <c r="H6" t="s">
        <v>19</v>
      </c>
      <c r="I6">
        <v>3.98</v>
      </c>
      <c r="J6">
        <v>0</v>
      </c>
      <c r="K6">
        <v>1.06989855379969E-2</v>
      </c>
      <c r="L6">
        <v>1</v>
      </c>
      <c r="M6">
        <v>80.468000000000004</v>
      </c>
      <c r="N6">
        <v>3.98</v>
      </c>
      <c r="O6">
        <v>20.218090452261301</v>
      </c>
      <c r="P6">
        <v>2.6881873211047399E-3</v>
      </c>
    </row>
    <row r="7" spans="1:16" x14ac:dyDescent="0.2">
      <c r="A7" t="s">
        <v>16</v>
      </c>
      <c r="B7" t="s">
        <v>24</v>
      </c>
      <c r="C7">
        <v>1</v>
      </c>
      <c r="D7">
        <v>25</v>
      </c>
      <c r="E7">
        <v>0</v>
      </c>
      <c r="F7">
        <v>0</v>
      </c>
      <c r="G7" t="s">
        <v>18</v>
      </c>
      <c r="H7" t="s">
        <v>22</v>
      </c>
      <c r="I7">
        <v>4.68</v>
      </c>
      <c r="J7">
        <v>0</v>
      </c>
      <c r="K7">
        <v>1.06700810926163E-2</v>
      </c>
      <c r="L7">
        <v>1</v>
      </c>
      <c r="M7">
        <v>76</v>
      </c>
      <c r="N7">
        <v>4.68</v>
      </c>
      <c r="O7">
        <v>16.239316239316199</v>
      </c>
      <c r="P7">
        <v>2.27993185739665E-3</v>
      </c>
    </row>
    <row r="8" spans="1:16" x14ac:dyDescent="0.2">
      <c r="A8" t="s">
        <v>16</v>
      </c>
      <c r="B8" t="s">
        <v>24</v>
      </c>
      <c r="C8">
        <v>1</v>
      </c>
      <c r="D8">
        <v>25</v>
      </c>
      <c r="E8">
        <v>0</v>
      </c>
      <c r="F8">
        <v>0</v>
      </c>
      <c r="G8" t="s">
        <v>23</v>
      </c>
      <c r="H8" t="s">
        <v>19</v>
      </c>
      <c r="I8">
        <v>8</v>
      </c>
      <c r="J8">
        <v>0</v>
      </c>
      <c r="K8">
        <v>1.0230341535541299E-2</v>
      </c>
      <c r="L8">
        <v>1</v>
      </c>
      <c r="M8">
        <v>63.66</v>
      </c>
      <c r="N8">
        <v>8</v>
      </c>
      <c r="O8">
        <v>7.9574999999999996</v>
      </c>
      <c r="P8">
        <v>1.27879269194267E-3</v>
      </c>
    </row>
    <row r="9" spans="1:16" x14ac:dyDescent="0.2">
      <c r="A9" t="s">
        <v>16</v>
      </c>
      <c r="B9" t="s">
        <v>24</v>
      </c>
      <c r="C9">
        <v>1</v>
      </c>
      <c r="D9">
        <v>25</v>
      </c>
      <c r="E9">
        <v>0</v>
      </c>
      <c r="F9">
        <v>0</v>
      </c>
      <c r="G9" t="s">
        <v>23</v>
      </c>
      <c r="H9" t="s">
        <v>22</v>
      </c>
      <c r="I9">
        <v>23.82</v>
      </c>
      <c r="J9">
        <v>0</v>
      </c>
      <c r="K9">
        <v>7.12250712250712E-3</v>
      </c>
      <c r="L9">
        <v>0</v>
      </c>
      <c r="M9">
        <v>0</v>
      </c>
      <c r="N9">
        <v>23.82</v>
      </c>
      <c r="O9">
        <v>0</v>
      </c>
      <c r="P9">
        <v>2.99013733102734E-4</v>
      </c>
    </row>
    <row r="10" spans="1:16" x14ac:dyDescent="0.2">
      <c r="A10" t="s">
        <v>16</v>
      </c>
      <c r="B10" t="s">
        <v>24</v>
      </c>
      <c r="C10">
        <v>1</v>
      </c>
      <c r="D10">
        <v>50</v>
      </c>
      <c r="E10">
        <v>0</v>
      </c>
      <c r="F10">
        <v>0</v>
      </c>
      <c r="G10" t="s">
        <v>18</v>
      </c>
      <c r="H10" t="s">
        <v>19</v>
      </c>
      <c r="I10">
        <v>4.3600000000000003</v>
      </c>
      <c r="J10">
        <v>0</v>
      </c>
      <c r="K10">
        <v>1.0523130046493301E-2</v>
      </c>
      <c r="L10">
        <v>1</v>
      </c>
      <c r="M10">
        <v>86.611999999999995</v>
      </c>
      <c r="N10">
        <v>4.3600000000000003</v>
      </c>
      <c r="O10">
        <v>19.8651376146789</v>
      </c>
      <c r="P10">
        <v>2.4135619372690998E-3</v>
      </c>
    </row>
    <row r="11" spans="1:16" x14ac:dyDescent="0.2">
      <c r="A11" t="s">
        <v>16</v>
      </c>
      <c r="B11" t="s">
        <v>24</v>
      </c>
      <c r="C11">
        <v>1</v>
      </c>
      <c r="D11">
        <v>50</v>
      </c>
      <c r="E11">
        <v>0</v>
      </c>
      <c r="F11">
        <v>0</v>
      </c>
      <c r="G11" t="s">
        <v>18</v>
      </c>
      <c r="H11" t="s">
        <v>22</v>
      </c>
      <c r="I11">
        <v>4.82</v>
      </c>
      <c r="J11">
        <v>0</v>
      </c>
      <c r="K11">
        <v>1.05086170659941E-2</v>
      </c>
      <c r="L11">
        <v>1</v>
      </c>
      <c r="M11">
        <v>84</v>
      </c>
      <c r="N11">
        <v>4.82</v>
      </c>
      <c r="O11">
        <v>17.427385892116199</v>
      </c>
      <c r="P11">
        <v>2.18021100954235E-3</v>
      </c>
    </row>
    <row r="12" spans="1:16" x14ac:dyDescent="0.2">
      <c r="A12" t="s">
        <v>16</v>
      </c>
      <c r="B12" t="s">
        <v>24</v>
      </c>
      <c r="C12">
        <v>1</v>
      </c>
      <c r="D12">
        <v>50</v>
      </c>
      <c r="E12">
        <v>0</v>
      </c>
      <c r="F12">
        <v>0</v>
      </c>
      <c r="G12" t="s">
        <v>23</v>
      </c>
      <c r="H12" t="s">
        <v>19</v>
      </c>
      <c r="I12">
        <v>6.42</v>
      </c>
      <c r="J12">
        <v>0</v>
      </c>
      <c r="K12">
        <v>1.0439719136791601E-2</v>
      </c>
      <c r="L12">
        <v>1</v>
      </c>
      <c r="M12">
        <v>82.031999999999996</v>
      </c>
      <c r="N12">
        <v>6.42</v>
      </c>
      <c r="O12">
        <v>12.7775700934579</v>
      </c>
      <c r="P12">
        <v>1.62612447613576E-3</v>
      </c>
    </row>
    <row r="13" spans="1:16" x14ac:dyDescent="0.2">
      <c r="A13" t="s">
        <v>16</v>
      </c>
      <c r="B13" t="s">
        <v>24</v>
      </c>
      <c r="C13">
        <v>1</v>
      </c>
      <c r="D13">
        <v>50</v>
      </c>
      <c r="E13">
        <v>0</v>
      </c>
      <c r="F13">
        <v>0</v>
      </c>
      <c r="G13" t="s">
        <v>23</v>
      </c>
      <c r="H13" t="s">
        <v>22</v>
      </c>
      <c r="I13">
        <v>7.96</v>
      </c>
      <c r="J13">
        <v>0</v>
      </c>
      <c r="K13">
        <v>1.03734439834025E-2</v>
      </c>
      <c r="L13">
        <v>1</v>
      </c>
      <c r="M13">
        <v>80</v>
      </c>
      <c r="N13">
        <v>7.96</v>
      </c>
      <c r="O13">
        <v>10.050251256281401</v>
      </c>
      <c r="P13">
        <v>1.30319648032695E-3</v>
      </c>
    </row>
    <row r="14" spans="1:16" x14ac:dyDescent="0.2">
      <c r="A14" t="s">
        <v>16</v>
      </c>
      <c r="B14" t="s">
        <v>24</v>
      </c>
      <c r="C14">
        <v>1</v>
      </c>
      <c r="D14">
        <v>75</v>
      </c>
      <c r="E14">
        <v>0</v>
      </c>
      <c r="F14">
        <v>0</v>
      </c>
      <c r="G14" t="s">
        <v>18</v>
      </c>
      <c r="H14" t="s">
        <v>19</v>
      </c>
      <c r="I14">
        <v>4.5199999999999996</v>
      </c>
      <c r="J14">
        <v>0</v>
      </c>
      <c r="K14">
        <v>1.0481965785532E-2</v>
      </c>
      <c r="L14">
        <v>1</v>
      </c>
      <c r="M14">
        <v>88.608000000000004</v>
      </c>
      <c r="N14">
        <v>4.5199999999999996</v>
      </c>
      <c r="O14">
        <v>19.603539823008902</v>
      </c>
      <c r="P14">
        <v>2.3190189791000102E-3</v>
      </c>
    </row>
    <row r="15" spans="1:16" x14ac:dyDescent="0.2">
      <c r="A15" t="s">
        <v>16</v>
      </c>
      <c r="B15" t="s">
        <v>24</v>
      </c>
      <c r="C15">
        <v>1</v>
      </c>
      <c r="D15">
        <v>75</v>
      </c>
      <c r="E15">
        <v>0</v>
      </c>
      <c r="F15">
        <v>0</v>
      </c>
      <c r="G15" t="s">
        <v>18</v>
      </c>
      <c r="H15" t="s">
        <v>22</v>
      </c>
      <c r="I15">
        <v>4.9000000000000004</v>
      </c>
      <c r="J15">
        <v>0</v>
      </c>
      <c r="K15">
        <v>1.0462439840970899E-2</v>
      </c>
      <c r="L15">
        <v>1</v>
      </c>
      <c r="M15">
        <v>88</v>
      </c>
      <c r="N15">
        <v>4.9000000000000004</v>
      </c>
      <c r="O15">
        <v>17.959183673469401</v>
      </c>
      <c r="P15">
        <v>2.1351918042797802E-3</v>
      </c>
    </row>
    <row r="16" spans="1:16" x14ac:dyDescent="0.2">
      <c r="A16" t="s">
        <v>16</v>
      </c>
      <c r="B16" t="s">
        <v>24</v>
      </c>
      <c r="C16">
        <v>1</v>
      </c>
      <c r="D16">
        <v>75</v>
      </c>
      <c r="E16">
        <v>0</v>
      </c>
      <c r="F16">
        <v>0</v>
      </c>
      <c r="G16" t="s">
        <v>23</v>
      </c>
      <c r="H16" t="s">
        <v>19</v>
      </c>
      <c r="I16">
        <v>6.08</v>
      </c>
      <c r="J16">
        <v>0</v>
      </c>
      <c r="K16">
        <v>1.04373123163434E-2</v>
      </c>
      <c r="L16">
        <v>1</v>
      </c>
      <c r="M16">
        <v>87.983999999999995</v>
      </c>
      <c r="N16">
        <v>6.08</v>
      </c>
      <c r="O16">
        <v>14.4710526315789</v>
      </c>
      <c r="P16">
        <v>1.7166632099249099E-3</v>
      </c>
    </row>
    <row r="17" spans="1:16" x14ac:dyDescent="0.2">
      <c r="A17" t="s">
        <v>16</v>
      </c>
      <c r="B17" t="s">
        <v>24</v>
      </c>
      <c r="C17">
        <v>1</v>
      </c>
      <c r="D17">
        <v>75</v>
      </c>
      <c r="E17">
        <v>0</v>
      </c>
      <c r="F17">
        <v>0</v>
      </c>
      <c r="G17" t="s">
        <v>23</v>
      </c>
      <c r="H17" t="s">
        <v>22</v>
      </c>
      <c r="I17">
        <v>6.88</v>
      </c>
      <c r="J17">
        <v>0</v>
      </c>
      <c r="K17">
        <v>1.03626943005181E-2</v>
      </c>
      <c r="L17">
        <v>1</v>
      </c>
      <c r="M17">
        <v>86</v>
      </c>
      <c r="N17">
        <v>6.88</v>
      </c>
      <c r="O17">
        <v>12.5</v>
      </c>
      <c r="P17">
        <v>1.50620556693578E-3</v>
      </c>
    </row>
    <row r="18" spans="1:16" x14ac:dyDescent="0.2">
      <c r="A18" t="s">
        <v>16</v>
      </c>
      <c r="B18" t="s">
        <v>24</v>
      </c>
      <c r="C18">
        <v>1</v>
      </c>
      <c r="D18">
        <v>100</v>
      </c>
      <c r="E18">
        <v>0</v>
      </c>
      <c r="F18">
        <v>0</v>
      </c>
      <c r="G18" t="s">
        <v>18</v>
      </c>
      <c r="H18" t="s">
        <v>19</v>
      </c>
      <c r="I18">
        <v>4.58</v>
      </c>
      <c r="J18">
        <v>0</v>
      </c>
      <c r="K18">
        <v>1.0434415158970501E-2</v>
      </c>
      <c r="L18">
        <v>1</v>
      </c>
      <c r="M18">
        <v>90.087999999999994</v>
      </c>
      <c r="N18">
        <v>4.58</v>
      </c>
      <c r="O18">
        <v>19.669868995633198</v>
      </c>
      <c r="P18">
        <v>2.2782565849280602E-3</v>
      </c>
    </row>
    <row r="19" spans="1:16" x14ac:dyDescent="0.2">
      <c r="A19" t="s">
        <v>16</v>
      </c>
      <c r="B19" t="s">
        <v>24</v>
      </c>
      <c r="C19">
        <v>1</v>
      </c>
      <c r="D19">
        <v>100</v>
      </c>
      <c r="E19">
        <v>0</v>
      </c>
      <c r="F19">
        <v>0</v>
      </c>
      <c r="G19" t="s">
        <v>18</v>
      </c>
      <c r="H19" t="s">
        <v>22</v>
      </c>
      <c r="I19">
        <v>4.9000000000000004</v>
      </c>
      <c r="J19">
        <v>0</v>
      </c>
      <c r="K19">
        <v>1.0479983232026801E-2</v>
      </c>
      <c r="L19">
        <v>1</v>
      </c>
      <c r="M19">
        <v>90</v>
      </c>
      <c r="N19">
        <v>4.9000000000000004</v>
      </c>
      <c r="O19">
        <v>18.367346938775501</v>
      </c>
      <c r="P19">
        <v>2.1387720881687398E-3</v>
      </c>
    </row>
    <row r="20" spans="1:16" x14ac:dyDescent="0.2">
      <c r="A20" t="s">
        <v>16</v>
      </c>
      <c r="B20" t="s">
        <v>24</v>
      </c>
      <c r="C20">
        <v>1</v>
      </c>
      <c r="D20">
        <v>100</v>
      </c>
      <c r="E20">
        <v>0</v>
      </c>
      <c r="F20">
        <v>0</v>
      </c>
      <c r="G20" t="s">
        <v>23</v>
      </c>
      <c r="H20" t="s">
        <v>19</v>
      </c>
      <c r="I20">
        <v>6.02</v>
      </c>
      <c r="J20">
        <v>0</v>
      </c>
      <c r="K20">
        <v>1.05361123095576E-2</v>
      </c>
      <c r="L20">
        <v>1</v>
      </c>
      <c r="M20">
        <v>89.988</v>
      </c>
      <c r="N20">
        <v>6.02</v>
      </c>
      <c r="O20">
        <v>14.948172757475101</v>
      </c>
      <c r="P20">
        <v>1.7501847690294899E-3</v>
      </c>
    </row>
    <row r="21" spans="1:16" x14ac:dyDescent="0.2">
      <c r="A21" t="s">
        <v>16</v>
      </c>
      <c r="B21" t="s">
        <v>24</v>
      </c>
      <c r="C21">
        <v>1</v>
      </c>
      <c r="D21">
        <v>100</v>
      </c>
      <c r="E21">
        <v>0</v>
      </c>
      <c r="F21">
        <v>0</v>
      </c>
      <c r="G21" t="s">
        <v>23</v>
      </c>
      <c r="H21" t="s">
        <v>22</v>
      </c>
      <c r="I21">
        <v>6.64</v>
      </c>
      <c r="J21">
        <v>0</v>
      </c>
      <c r="K21">
        <v>1.05064089094348E-2</v>
      </c>
      <c r="L21">
        <v>1</v>
      </c>
      <c r="M21">
        <v>90</v>
      </c>
      <c r="N21">
        <v>6.64</v>
      </c>
      <c r="O21">
        <v>13.554216867469901</v>
      </c>
      <c r="P21">
        <v>1.5822904984088501E-3</v>
      </c>
    </row>
    <row r="22" spans="1:16" x14ac:dyDescent="0.2">
      <c r="A22" t="s">
        <v>16</v>
      </c>
      <c r="B22" t="s">
        <v>24</v>
      </c>
      <c r="C22">
        <v>2</v>
      </c>
      <c r="D22">
        <v>25</v>
      </c>
      <c r="E22">
        <v>0</v>
      </c>
      <c r="F22">
        <v>0</v>
      </c>
      <c r="G22" t="s">
        <v>18</v>
      </c>
      <c r="H22" t="s">
        <v>19</v>
      </c>
      <c r="I22">
        <v>3.46</v>
      </c>
      <c r="J22">
        <v>0</v>
      </c>
      <c r="K22">
        <v>1.11341784117214E-2</v>
      </c>
      <c r="L22">
        <v>1</v>
      </c>
      <c r="M22">
        <v>70.156000000000006</v>
      </c>
      <c r="N22">
        <v>3.46</v>
      </c>
      <c r="O22">
        <v>20.2763005780347</v>
      </c>
      <c r="P22">
        <v>3.2179706392258399E-3</v>
      </c>
    </row>
    <row r="23" spans="1:16" x14ac:dyDescent="0.2">
      <c r="A23" t="s">
        <v>16</v>
      </c>
      <c r="B23" t="s">
        <v>24</v>
      </c>
      <c r="C23">
        <v>2</v>
      </c>
      <c r="D23">
        <v>25</v>
      </c>
      <c r="E23">
        <v>0</v>
      </c>
      <c r="F23">
        <v>0</v>
      </c>
      <c r="G23" t="s">
        <v>18</v>
      </c>
      <c r="H23" t="s">
        <v>22</v>
      </c>
      <c r="I23">
        <v>4.46</v>
      </c>
      <c r="J23">
        <v>0</v>
      </c>
      <c r="K23">
        <v>1.12157918349035E-2</v>
      </c>
      <c r="L23">
        <v>1</v>
      </c>
      <c r="M23">
        <v>62</v>
      </c>
      <c r="N23">
        <v>4.46</v>
      </c>
      <c r="O23">
        <v>13.901345291479799</v>
      </c>
      <c r="P23">
        <v>2.5147515324895802E-3</v>
      </c>
    </row>
    <row r="24" spans="1:16" x14ac:dyDescent="0.2">
      <c r="A24" t="s">
        <v>16</v>
      </c>
      <c r="B24" t="s">
        <v>24</v>
      </c>
      <c r="C24">
        <v>2</v>
      </c>
      <c r="D24">
        <v>25</v>
      </c>
      <c r="E24">
        <v>0</v>
      </c>
      <c r="F24">
        <v>0</v>
      </c>
      <c r="G24" t="s">
        <v>23</v>
      </c>
      <c r="H24" t="s">
        <v>19</v>
      </c>
      <c r="I24">
        <v>12.34</v>
      </c>
      <c r="J24">
        <v>0</v>
      </c>
      <c r="K24">
        <v>6.7174207989716397E-3</v>
      </c>
      <c r="L24">
        <v>6.4000000000000001E-2</v>
      </c>
      <c r="M24">
        <v>0.77600000000000002</v>
      </c>
      <c r="N24">
        <v>12.34</v>
      </c>
      <c r="O24">
        <v>6.2884927066450602E-2</v>
      </c>
      <c r="P24">
        <v>5.4436149100256395E-4</v>
      </c>
    </row>
    <row r="25" spans="1:16" x14ac:dyDescent="0.2">
      <c r="A25" t="s">
        <v>16</v>
      </c>
      <c r="B25" t="s">
        <v>24</v>
      </c>
      <c r="C25">
        <v>2</v>
      </c>
      <c r="D25">
        <v>25</v>
      </c>
      <c r="E25">
        <v>0</v>
      </c>
      <c r="F25">
        <v>0</v>
      </c>
      <c r="G25" t="s">
        <v>23</v>
      </c>
      <c r="H25" t="s">
        <v>22</v>
      </c>
      <c r="I25">
        <v>12.5</v>
      </c>
      <c r="J25">
        <v>0</v>
      </c>
      <c r="K25">
        <v>3.2131611078979501E-3</v>
      </c>
      <c r="L25">
        <v>0</v>
      </c>
      <c r="M25">
        <v>0</v>
      </c>
      <c r="N25">
        <v>12.5</v>
      </c>
      <c r="O25">
        <v>0</v>
      </c>
      <c r="P25">
        <v>2.5705288863183599E-4</v>
      </c>
    </row>
    <row r="26" spans="1:16" x14ac:dyDescent="0.2">
      <c r="A26" t="s">
        <v>16</v>
      </c>
      <c r="B26" t="s">
        <v>24</v>
      </c>
      <c r="C26">
        <v>2</v>
      </c>
      <c r="D26">
        <v>50</v>
      </c>
      <c r="E26">
        <v>0</v>
      </c>
      <c r="F26">
        <v>0</v>
      </c>
      <c r="G26" t="s">
        <v>18</v>
      </c>
      <c r="H26" t="s">
        <v>19</v>
      </c>
      <c r="I26">
        <v>4.04</v>
      </c>
      <c r="J26">
        <v>0</v>
      </c>
      <c r="K26">
        <v>1.0744877666721501E-2</v>
      </c>
      <c r="L26">
        <v>1</v>
      </c>
      <c r="M26">
        <v>80.063999999999993</v>
      </c>
      <c r="N26">
        <v>4.04</v>
      </c>
      <c r="O26">
        <v>19.8178217821782</v>
      </c>
      <c r="P26">
        <v>2.6596231848320601E-3</v>
      </c>
    </row>
    <row r="27" spans="1:16" x14ac:dyDescent="0.2">
      <c r="A27" t="s">
        <v>16</v>
      </c>
      <c r="B27" t="s">
        <v>24</v>
      </c>
      <c r="C27">
        <v>2</v>
      </c>
      <c r="D27">
        <v>50</v>
      </c>
      <c r="E27">
        <v>0</v>
      </c>
      <c r="F27">
        <v>0</v>
      </c>
      <c r="G27" t="s">
        <v>18</v>
      </c>
      <c r="H27" t="s">
        <v>22</v>
      </c>
      <c r="I27">
        <v>4.72</v>
      </c>
      <c r="J27">
        <v>0</v>
      </c>
      <c r="K27">
        <v>1.0785159620362399E-2</v>
      </c>
      <c r="L27">
        <v>1</v>
      </c>
      <c r="M27">
        <v>76</v>
      </c>
      <c r="N27">
        <v>4.72</v>
      </c>
      <c r="O27">
        <v>16.1016949152542</v>
      </c>
      <c r="P27">
        <v>2.2849914449920299E-3</v>
      </c>
    </row>
    <row r="28" spans="1:16" x14ac:dyDescent="0.2">
      <c r="A28" t="s">
        <v>16</v>
      </c>
      <c r="B28" t="s">
        <v>24</v>
      </c>
      <c r="C28">
        <v>2</v>
      </c>
      <c r="D28">
        <v>50</v>
      </c>
      <c r="E28">
        <v>0</v>
      </c>
      <c r="F28">
        <v>0</v>
      </c>
      <c r="G28" t="s">
        <v>23</v>
      </c>
      <c r="H28" t="s">
        <v>19</v>
      </c>
      <c r="I28">
        <v>7.8</v>
      </c>
      <c r="J28">
        <v>0</v>
      </c>
      <c r="K28">
        <v>1.0492373250261301E-2</v>
      </c>
      <c r="L28">
        <v>1</v>
      </c>
      <c r="M28">
        <v>59.34</v>
      </c>
      <c r="N28">
        <v>7.8</v>
      </c>
      <c r="O28">
        <v>7.60769230769231</v>
      </c>
      <c r="P28">
        <v>1.3451760577258001E-3</v>
      </c>
    </row>
    <row r="29" spans="1:16" x14ac:dyDescent="0.2">
      <c r="A29" t="s">
        <v>16</v>
      </c>
      <c r="B29" t="s">
        <v>24</v>
      </c>
      <c r="C29">
        <v>2</v>
      </c>
      <c r="D29">
        <v>50</v>
      </c>
      <c r="E29">
        <v>0</v>
      </c>
      <c r="F29">
        <v>0</v>
      </c>
      <c r="G29" t="s">
        <v>23</v>
      </c>
      <c r="H29" t="s">
        <v>22</v>
      </c>
      <c r="I29">
        <v>19.64</v>
      </c>
      <c r="J29">
        <v>0</v>
      </c>
      <c r="K29">
        <v>8.3042683939544906E-3</v>
      </c>
      <c r="L29">
        <v>1</v>
      </c>
      <c r="M29">
        <v>10</v>
      </c>
      <c r="N29">
        <v>19.64</v>
      </c>
      <c r="O29">
        <v>0.50916496945010203</v>
      </c>
      <c r="P29">
        <v>4.2282425631132902E-4</v>
      </c>
    </row>
    <row r="30" spans="1:16" x14ac:dyDescent="0.2">
      <c r="A30" t="s">
        <v>16</v>
      </c>
      <c r="B30" t="s">
        <v>24</v>
      </c>
      <c r="C30">
        <v>2</v>
      </c>
      <c r="D30">
        <v>75</v>
      </c>
      <c r="E30">
        <v>0</v>
      </c>
      <c r="F30">
        <v>0</v>
      </c>
      <c r="G30" t="s">
        <v>18</v>
      </c>
      <c r="H30" t="s">
        <v>19</v>
      </c>
      <c r="I30">
        <v>4.32</v>
      </c>
      <c r="J30">
        <v>0</v>
      </c>
      <c r="K30">
        <v>1.06784972533072E-2</v>
      </c>
      <c r="L30">
        <v>1</v>
      </c>
      <c r="M30">
        <v>83.552000000000007</v>
      </c>
      <c r="N30">
        <v>4.32</v>
      </c>
      <c r="O30">
        <v>19.340740740740699</v>
      </c>
      <c r="P30">
        <v>2.4718743641914901E-3</v>
      </c>
    </row>
    <row r="31" spans="1:16" x14ac:dyDescent="0.2">
      <c r="A31" t="s">
        <v>16</v>
      </c>
      <c r="B31" t="s">
        <v>24</v>
      </c>
      <c r="C31">
        <v>2</v>
      </c>
      <c r="D31">
        <v>75</v>
      </c>
      <c r="E31">
        <v>0</v>
      </c>
      <c r="F31">
        <v>0</v>
      </c>
      <c r="G31" t="s">
        <v>18</v>
      </c>
      <c r="H31" t="s">
        <v>22</v>
      </c>
      <c r="I31">
        <v>4.84</v>
      </c>
      <c r="J31">
        <v>0</v>
      </c>
      <c r="K31">
        <v>1.0647359454855201E-2</v>
      </c>
      <c r="L31">
        <v>1</v>
      </c>
      <c r="M31">
        <v>80</v>
      </c>
      <c r="N31">
        <v>4.84</v>
      </c>
      <c r="O31">
        <v>16.528925619834698</v>
      </c>
      <c r="P31">
        <v>2.1998676559618199E-3</v>
      </c>
    </row>
    <row r="32" spans="1:16" x14ac:dyDescent="0.2">
      <c r="A32" t="s">
        <v>16</v>
      </c>
      <c r="B32" t="s">
        <v>24</v>
      </c>
      <c r="C32">
        <v>2</v>
      </c>
      <c r="D32">
        <v>75</v>
      </c>
      <c r="E32">
        <v>0</v>
      </c>
      <c r="F32">
        <v>0</v>
      </c>
      <c r="G32" t="s">
        <v>23</v>
      </c>
      <c r="H32" t="s">
        <v>19</v>
      </c>
      <c r="I32">
        <v>6.66</v>
      </c>
      <c r="J32">
        <v>0</v>
      </c>
      <c r="K32">
        <v>1.06975204481427E-2</v>
      </c>
      <c r="L32">
        <v>1</v>
      </c>
      <c r="M32">
        <v>70.912000000000006</v>
      </c>
      <c r="N32">
        <v>6.66</v>
      </c>
      <c r="O32">
        <v>10.6474474474474</v>
      </c>
      <c r="P32">
        <v>1.6062343015229299E-3</v>
      </c>
    </row>
    <row r="33" spans="1:16" x14ac:dyDescent="0.2">
      <c r="A33" t="s">
        <v>16</v>
      </c>
      <c r="B33" t="s">
        <v>24</v>
      </c>
      <c r="C33">
        <v>2</v>
      </c>
      <c r="D33">
        <v>75</v>
      </c>
      <c r="E33">
        <v>0</v>
      </c>
      <c r="F33">
        <v>0</v>
      </c>
      <c r="G33" t="s">
        <v>23</v>
      </c>
      <c r="H33" t="s">
        <v>22</v>
      </c>
      <c r="I33">
        <v>9</v>
      </c>
      <c r="J33">
        <v>0</v>
      </c>
      <c r="K33">
        <v>1.05909764880322E-2</v>
      </c>
      <c r="L33">
        <v>1</v>
      </c>
      <c r="M33">
        <v>64</v>
      </c>
      <c r="N33">
        <v>9</v>
      </c>
      <c r="O33">
        <v>7.1111111111111098</v>
      </c>
      <c r="P33">
        <v>1.1767751653369101E-3</v>
      </c>
    </row>
    <row r="34" spans="1:16" x14ac:dyDescent="0.2">
      <c r="A34" t="s">
        <v>16</v>
      </c>
      <c r="B34" t="s">
        <v>24</v>
      </c>
      <c r="C34">
        <v>2</v>
      </c>
      <c r="D34">
        <v>100</v>
      </c>
      <c r="E34">
        <v>0</v>
      </c>
      <c r="F34">
        <v>0</v>
      </c>
      <c r="G34" t="s">
        <v>18</v>
      </c>
      <c r="H34" t="s">
        <v>19</v>
      </c>
      <c r="I34">
        <v>4.4400000000000004</v>
      </c>
      <c r="J34">
        <v>0</v>
      </c>
      <c r="K34">
        <v>1.05468898313136E-2</v>
      </c>
      <c r="L34">
        <v>1</v>
      </c>
      <c r="M34">
        <v>85.847999999999999</v>
      </c>
      <c r="N34">
        <v>4.4400000000000004</v>
      </c>
      <c r="O34">
        <v>19.335135135135101</v>
      </c>
      <c r="P34">
        <v>2.37542563768323E-3</v>
      </c>
    </row>
    <row r="35" spans="1:16" x14ac:dyDescent="0.2">
      <c r="A35" t="s">
        <v>16</v>
      </c>
      <c r="B35" t="s">
        <v>24</v>
      </c>
      <c r="C35">
        <v>2</v>
      </c>
      <c r="D35">
        <v>100</v>
      </c>
      <c r="E35">
        <v>0</v>
      </c>
      <c r="F35">
        <v>0</v>
      </c>
      <c r="G35" t="s">
        <v>18</v>
      </c>
      <c r="H35" t="s">
        <v>22</v>
      </c>
      <c r="I35">
        <v>4.84</v>
      </c>
      <c r="J35">
        <v>0</v>
      </c>
      <c r="K35">
        <v>1.0608953957139801E-2</v>
      </c>
      <c r="L35">
        <v>1</v>
      </c>
      <c r="M35">
        <v>84</v>
      </c>
      <c r="N35">
        <v>4.84</v>
      </c>
      <c r="O35">
        <v>17.355371900826398</v>
      </c>
      <c r="P35">
        <v>2.1919326357726899E-3</v>
      </c>
    </row>
    <row r="36" spans="1:16" x14ac:dyDescent="0.2">
      <c r="A36" t="s">
        <v>16</v>
      </c>
      <c r="B36" t="s">
        <v>24</v>
      </c>
      <c r="C36">
        <v>2</v>
      </c>
      <c r="D36">
        <v>100</v>
      </c>
      <c r="E36">
        <v>0</v>
      </c>
      <c r="F36">
        <v>0</v>
      </c>
      <c r="G36" t="s">
        <v>23</v>
      </c>
      <c r="H36" t="s">
        <v>19</v>
      </c>
      <c r="I36">
        <v>6.28</v>
      </c>
      <c r="J36">
        <v>0</v>
      </c>
      <c r="K36">
        <v>1.07166468641207E-2</v>
      </c>
      <c r="L36">
        <v>1</v>
      </c>
      <c r="M36">
        <v>74.819999999999993</v>
      </c>
      <c r="N36">
        <v>6.28</v>
      </c>
      <c r="O36">
        <v>11.914012738853501</v>
      </c>
      <c r="P36">
        <v>1.70647243059246E-3</v>
      </c>
    </row>
    <row r="37" spans="1:16" x14ac:dyDescent="0.2">
      <c r="A37" t="s">
        <v>16</v>
      </c>
      <c r="B37" t="s">
        <v>24</v>
      </c>
      <c r="C37">
        <v>2</v>
      </c>
      <c r="D37">
        <v>100</v>
      </c>
      <c r="E37">
        <v>0</v>
      </c>
      <c r="F37">
        <v>0</v>
      </c>
      <c r="G37" t="s">
        <v>23</v>
      </c>
      <c r="H37" t="s">
        <v>22</v>
      </c>
      <c r="I37">
        <v>7.56</v>
      </c>
      <c r="J37">
        <v>0</v>
      </c>
      <c r="K37">
        <v>1.07781849536538E-2</v>
      </c>
      <c r="L37">
        <v>1</v>
      </c>
      <c r="M37">
        <v>72</v>
      </c>
      <c r="N37">
        <v>7.56</v>
      </c>
      <c r="O37">
        <v>9.5238095238095202</v>
      </c>
      <c r="P37">
        <v>1.4256858404304001E-3</v>
      </c>
    </row>
    <row r="38" spans="1:16" x14ac:dyDescent="0.2">
      <c r="A38" t="s">
        <v>16</v>
      </c>
      <c r="B38" t="s">
        <v>24</v>
      </c>
      <c r="C38">
        <v>5</v>
      </c>
      <c r="D38">
        <v>25</v>
      </c>
      <c r="E38">
        <v>0</v>
      </c>
      <c r="F38">
        <v>0</v>
      </c>
      <c r="G38" t="s">
        <v>18</v>
      </c>
      <c r="H38" t="s">
        <v>19</v>
      </c>
      <c r="I38">
        <v>2.62</v>
      </c>
      <c r="J38">
        <v>0</v>
      </c>
      <c r="K38">
        <v>1.22363841963949E-2</v>
      </c>
      <c r="L38">
        <v>1</v>
      </c>
      <c r="M38">
        <v>48.143999999999998</v>
      </c>
      <c r="N38">
        <v>2.62</v>
      </c>
      <c r="O38">
        <v>18.375572519083999</v>
      </c>
      <c r="P38">
        <v>4.6703756474789698E-3</v>
      </c>
    </row>
    <row r="39" spans="1:16" x14ac:dyDescent="0.2">
      <c r="A39" t="s">
        <v>16</v>
      </c>
      <c r="B39" t="s">
        <v>24</v>
      </c>
      <c r="C39">
        <v>5</v>
      </c>
      <c r="D39">
        <v>25</v>
      </c>
      <c r="E39">
        <v>0</v>
      </c>
      <c r="F39">
        <v>0</v>
      </c>
      <c r="G39" t="s">
        <v>18</v>
      </c>
      <c r="H39" t="s">
        <v>22</v>
      </c>
      <c r="I39">
        <v>4</v>
      </c>
      <c r="J39">
        <v>0</v>
      </c>
      <c r="K39">
        <v>1.30718954248366E-2</v>
      </c>
      <c r="L39">
        <v>1</v>
      </c>
      <c r="M39">
        <v>22</v>
      </c>
      <c r="N39">
        <v>4</v>
      </c>
      <c r="O39">
        <v>5.5</v>
      </c>
      <c r="P39">
        <v>3.26797385620915E-3</v>
      </c>
    </row>
    <row r="40" spans="1:16" x14ac:dyDescent="0.2">
      <c r="A40" t="s">
        <v>16</v>
      </c>
      <c r="B40" t="s">
        <v>24</v>
      </c>
      <c r="C40">
        <v>5</v>
      </c>
      <c r="D40">
        <v>25</v>
      </c>
      <c r="E40">
        <v>0</v>
      </c>
      <c r="F40">
        <v>0</v>
      </c>
      <c r="G40" t="s">
        <v>23</v>
      </c>
      <c r="H40" t="s">
        <v>19</v>
      </c>
      <c r="I40">
        <v>5</v>
      </c>
      <c r="J40">
        <v>0</v>
      </c>
      <c r="K40">
        <v>3.9354631552273598E-3</v>
      </c>
      <c r="L40">
        <v>0</v>
      </c>
      <c r="M40">
        <v>0</v>
      </c>
      <c r="N40">
        <v>5</v>
      </c>
      <c r="O40">
        <v>0</v>
      </c>
      <c r="P40">
        <v>7.8709263104547302E-4</v>
      </c>
    </row>
    <row r="41" spans="1:16" x14ac:dyDescent="0.2">
      <c r="A41" t="s">
        <v>16</v>
      </c>
      <c r="B41" t="s">
        <v>24</v>
      </c>
      <c r="C41">
        <v>5</v>
      </c>
      <c r="D41">
        <v>25</v>
      </c>
      <c r="E41">
        <v>0</v>
      </c>
      <c r="F41">
        <v>0</v>
      </c>
      <c r="G41" t="s">
        <v>23</v>
      </c>
      <c r="H41" t="s">
        <v>22</v>
      </c>
      <c r="I41">
        <v>5</v>
      </c>
      <c r="J41">
        <v>0</v>
      </c>
      <c r="K41">
        <v>2.9956263854772E-3</v>
      </c>
      <c r="L41">
        <v>0</v>
      </c>
      <c r="M41">
        <v>0</v>
      </c>
      <c r="N41">
        <v>5</v>
      </c>
      <c r="O41">
        <v>0</v>
      </c>
      <c r="P41">
        <v>5.9912527709544104E-4</v>
      </c>
    </row>
    <row r="42" spans="1:16" x14ac:dyDescent="0.2">
      <c r="A42" t="s">
        <v>16</v>
      </c>
      <c r="B42" t="s">
        <v>24</v>
      </c>
      <c r="C42">
        <v>5</v>
      </c>
      <c r="D42">
        <v>50</v>
      </c>
      <c r="E42">
        <v>0</v>
      </c>
      <c r="F42">
        <v>0</v>
      </c>
      <c r="G42" t="s">
        <v>18</v>
      </c>
      <c r="H42" t="s">
        <v>19</v>
      </c>
      <c r="I42">
        <v>3.42</v>
      </c>
      <c r="J42">
        <v>0</v>
      </c>
      <c r="K42">
        <v>1.14980217593141E-2</v>
      </c>
      <c r="L42">
        <v>1</v>
      </c>
      <c r="M42">
        <v>64.715999999999994</v>
      </c>
      <c r="N42">
        <v>3.42</v>
      </c>
      <c r="O42">
        <v>18.922807017543899</v>
      </c>
      <c r="P42">
        <v>3.3619946664661098E-3</v>
      </c>
    </row>
    <row r="43" spans="1:16" x14ac:dyDescent="0.2">
      <c r="A43" t="s">
        <v>16</v>
      </c>
      <c r="B43" t="s">
        <v>24</v>
      </c>
      <c r="C43">
        <v>5</v>
      </c>
      <c r="D43">
        <v>50</v>
      </c>
      <c r="E43">
        <v>0</v>
      </c>
      <c r="F43">
        <v>0</v>
      </c>
      <c r="G43" t="s">
        <v>18</v>
      </c>
      <c r="H43" t="s">
        <v>22</v>
      </c>
      <c r="I43">
        <v>4.3600000000000003</v>
      </c>
      <c r="J43">
        <v>0</v>
      </c>
      <c r="K43">
        <v>1.17150890346767E-2</v>
      </c>
      <c r="L43">
        <v>1</v>
      </c>
      <c r="M43">
        <v>54</v>
      </c>
      <c r="N43">
        <v>4.3600000000000003</v>
      </c>
      <c r="O43">
        <v>12.3853211009174</v>
      </c>
      <c r="P43">
        <v>2.68694702630199E-3</v>
      </c>
    </row>
    <row r="44" spans="1:16" x14ac:dyDescent="0.2">
      <c r="A44" t="s">
        <v>16</v>
      </c>
      <c r="B44" t="s">
        <v>24</v>
      </c>
      <c r="C44">
        <v>5</v>
      </c>
      <c r="D44">
        <v>50</v>
      </c>
      <c r="E44">
        <v>0</v>
      </c>
      <c r="F44">
        <v>0</v>
      </c>
      <c r="G44" t="s">
        <v>23</v>
      </c>
      <c r="H44" t="s">
        <v>19</v>
      </c>
      <c r="I44">
        <v>10</v>
      </c>
      <c r="J44">
        <v>0</v>
      </c>
      <c r="K44">
        <v>5.1963158401246096E-3</v>
      </c>
      <c r="L44">
        <v>0</v>
      </c>
      <c r="M44">
        <v>0</v>
      </c>
      <c r="N44">
        <v>10</v>
      </c>
      <c r="O44">
        <v>0</v>
      </c>
      <c r="P44">
        <v>5.19631584012461E-4</v>
      </c>
    </row>
    <row r="45" spans="1:16" x14ac:dyDescent="0.2">
      <c r="A45" t="s">
        <v>16</v>
      </c>
      <c r="B45" t="s">
        <v>24</v>
      </c>
      <c r="C45">
        <v>5</v>
      </c>
      <c r="D45">
        <v>50</v>
      </c>
      <c r="E45">
        <v>0</v>
      </c>
      <c r="F45">
        <v>0</v>
      </c>
      <c r="G45" t="s">
        <v>23</v>
      </c>
      <c r="H45" t="s">
        <v>22</v>
      </c>
      <c r="I45">
        <v>10</v>
      </c>
      <c r="J45">
        <v>0</v>
      </c>
      <c r="K45">
        <v>3.2016392392905202E-3</v>
      </c>
      <c r="L45">
        <v>0</v>
      </c>
      <c r="M45">
        <v>0</v>
      </c>
      <c r="N45">
        <v>10</v>
      </c>
      <c r="O45">
        <v>0</v>
      </c>
      <c r="P45">
        <v>3.2016392392905202E-4</v>
      </c>
    </row>
    <row r="46" spans="1:16" x14ac:dyDescent="0.2">
      <c r="A46" t="s">
        <v>16</v>
      </c>
      <c r="B46" t="s">
        <v>24</v>
      </c>
      <c r="C46">
        <v>5</v>
      </c>
      <c r="D46">
        <v>75</v>
      </c>
      <c r="E46">
        <v>0</v>
      </c>
      <c r="F46">
        <v>0</v>
      </c>
      <c r="G46" t="s">
        <v>18</v>
      </c>
      <c r="H46" t="s">
        <v>19</v>
      </c>
      <c r="I46">
        <v>3.82</v>
      </c>
      <c r="J46">
        <v>0</v>
      </c>
      <c r="K46">
        <v>1.1180435959063E-2</v>
      </c>
      <c r="L46">
        <v>1</v>
      </c>
      <c r="M46">
        <v>71.888000000000005</v>
      </c>
      <c r="N46">
        <v>3.82</v>
      </c>
      <c r="O46">
        <v>18.818848167539301</v>
      </c>
      <c r="P46">
        <v>2.9268156960897801E-3</v>
      </c>
    </row>
    <row r="47" spans="1:16" x14ac:dyDescent="0.2">
      <c r="A47" t="s">
        <v>16</v>
      </c>
      <c r="B47" t="s">
        <v>24</v>
      </c>
      <c r="C47">
        <v>5</v>
      </c>
      <c r="D47">
        <v>75</v>
      </c>
      <c r="E47">
        <v>0</v>
      </c>
      <c r="F47">
        <v>0</v>
      </c>
      <c r="G47" t="s">
        <v>18</v>
      </c>
      <c r="H47" t="s">
        <v>22</v>
      </c>
      <c r="I47">
        <v>4.72</v>
      </c>
      <c r="J47">
        <v>0</v>
      </c>
      <c r="K47">
        <v>1.1307100859339701E-2</v>
      </c>
      <c r="L47">
        <v>1</v>
      </c>
      <c r="M47">
        <v>64</v>
      </c>
      <c r="N47">
        <v>4.72</v>
      </c>
      <c r="O47">
        <v>13.559322033898299</v>
      </c>
      <c r="P47">
        <v>2.39557221596179E-3</v>
      </c>
    </row>
    <row r="48" spans="1:16" x14ac:dyDescent="0.2">
      <c r="A48" t="s">
        <v>16</v>
      </c>
      <c r="B48" t="s">
        <v>24</v>
      </c>
      <c r="C48">
        <v>5</v>
      </c>
      <c r="D48">
        <v>75</v>
      </c>
      <c r="E48">
        <v>0</v>
      </c>
      <c r="F48">
        <v>0</v>
      </c>
      <c r="G48" t="s">
        <v>23</v>
      </c>
      <c r="H48" t="s">
        <v>19</v>
      </c>
      <c r="I48">
        <v>10.92</v>
      </c>
      <c r="J48">
        <v>0</v>
      </c>
      <c r="K48">
        <v>1.0641978566834499E-2</v>
      </c>
      <c r="L48">
        <v>0.75</v>
      </c>
      <c r="M48">
        <v>12.516</v>
      </c>
      <c r="N48">
        <v>10.92</v>
      </c>
      <c r="O48">
        <v>1.1461538461538501</v>
      </c>
      <c r="P48">
        <v>9.7454016179803003E-4</v>
      </c>
    </row>
    <row r="49" spans="1:16" x14ac:dyDescent="0.2">
      <c r="A49" t="s">
        <v>16</v>
      </c>
      <c r="B49" t="s">
        <v>24</v>
      </c>
      <c r="C49">
        <v>5</v>
      </c>
      <c r="D49">
        <v>75</v>
      </c>
      <c r="E49">
        <v>0</v>
      </c>
      <c r="F49">
        <v>0</v>
      </c>
      <c r="G49" t="s">
        <v>23</v>
      </c>
      <c r="H49" t="s">
        <v>22</v>
      </c>
      <c r="I49">
        <v>15</v>
      </c>
      <c r="J49">
        <v>0</v>
      </c>
      <c r="K49">
        <v>3.5523978685612799E-3</v>
      </c>
      <c r="L49">
        <v>0</v>
      </c>
      <c r="M49">
        <v>0</v>
      </c>
      <c r="N49">
        <v>15</v>
      </c>
      <c r="O49">
        <v>0</v>
      </c>
      <c r="P49">
        <v>2.36826524570752E-4</v>
      </c>
    </row>
    <row r="50" spans="1:16" x14ac:dyDescent="0.2">
      <c r="A50" t="s">
        <v>16</v>
      </c>
      <c r="B50" t="s">
        <v>24</v>
      </c>
      <c r="C50">
        <v>5</v>
      </c>
      <c r="D50">
        <v>100</v>
      </c>
      <c r="E50">
        <v>0</v>
      </c>
      <c r="F50">
        <v>0</v>
      </c>
      <c r="G50" t="s">
        <v>18</v>
      </c>
      <c r="H50" t="s">
        <v>19</v>
      </c>
      <c r="I50">
        <v>4.16</v>
      </c>
      <c r="J50">
        <v>0</v>
      </c>
      <c r="K50">
        <v>1.08878081650236E-2</v>
      </c>
      <c r="L50">
        <v>1</v>
      </c>
      <c r="M50">
        <v>76.268000000000001</v>
      </c>
      <c r="N50">
        <v>4.16</v>
      </c>
      <c r="O50">
        <v>18.333653846153801</v>
      </c>
      <c r="P50">
        <v>2.6172615781306602E-3</v>
      </c>
    </row>
    <row r="51" spans="1:16" x14ac:dyDescent="0.2">
      <c r="A51" t="s">
        <v>16</v>
      </c>
      <c r="B51" t="s">
        <v>24</v>
      </c>
      <c r="C51">
        <v>5</v>
      </c>
      <c r="D51">
        <v>100</v>
      </c>
      <c r="E51">
        <v>0</v>
      </c>
      <c r="F51">
        <v>0</v>
      </c>
      <c r="G51" t="s">
        <v>18</v>
      </c>
      <c r="H51" t="s">
        <v>22</v>
      </c>
      <c r="I51">
        <v>4.66</v>
      </c>
      <c r="J51">
        <v>0</v>
      </c>
      <c r="K51">
        <v>1.10570544007077E-2</v>
      </c>
      <c r="L51">
        <v>1</v>
      </c>
      <c r="M51">
        <v>70</v>
      </c>
      <c r="N51">
        <v>4.66</v>
      </c>
      <c r="O51">
        <v>15.021459227467799</v>
      </c>
      <c r="P51">
        <v>2.3727584550874798E-3</v>
      </c>
    </row>
    <row r="52" spans="1:16" x14ac:dyDescent="0.2">
      <c r="A52" t="s">
        <v>16</v>
      </c>
      <c r="B52" t="s">
        <v>24</v>
      </c>
      <c r="C52">
        <v>5</v>
      </c>
      <c r="D52">
        <v>100</v>
      </c>
      <c r="E52">
        <v>0</v>
      </c>
      <c r="F52">
        <v>0</v>
      </c>
      <c r="G52" t="s">
        <v>23</v>
      </c>
      <c r="H52" t="s">
        <v>19</v>
      </c>
      <c r="I52">
        <v>8.06</v>
      </c>
      <c r="J52">
        <v>0</v>
      </c>
      <c r="K52">
        <v>1.1627667362108299E-2</v>
      </c>
      <c r="L52">
        <v>1</v>
      </c>
      <c r="M52">
        <v>39.707999999999998</v>
      </c>
      <c r="N52">
        <v>8.06</v>
      </c>
      <c r="O52">
        <v>4.9265508684863502</v>
      </c>
      <c r="P52">
        <v>1.44263863053452E-3</v>
      </c>
    </row>
    <row r="53" spans="1:16" x14ac:dyDescent="0.2">
      <c r="A53" t="s">
        <v>16</v>
      </c>
      <c r="B53" t="s">
        <v>24</v>
      </c>
      <c r="C53">
        <v>5</v>
      </c>
      <c r="D53">
        <v>100</v>
      </c>
      <c r="E53">
        <v>0</v>
      </c>
      <c r="F53">
        <v>0</v>
      </c>
      <c r="G53" t="s">
        <v>23</v>
      </c>
      <c r="H53" t="s">
        <v>22</v>
      </c>
      <c r="I53">
        <v>20</v>
      </c>
      <c r="J53">
        <v>0</v>
      </c>
      <c r="K53">
        <v>4.7856049004594203E-3</v>
      </c>
      <c r="L53">
        <v>0</v>
      </c>
      <c r="M53">
        <v>0</v>
      </c>
      <c r="N53">
        <v>20</v>
      </c>
      <c r="O53">
        <v>0</v>
      </c>
      <c r="P53">
        <v>2.3928024502297099E-4</v>
      </c>
    </row>
    <row r="54" spans="1:16" x14ac:dyDescent="0.2">
      <c r="A54" t="s">
        <v>16</v>
      </c>
      <c r="B54" t="s">
        <v>17</v>
      </c>
      <c r="C54">
        <v>0</v>
      </c>
      <c r="D54">
        <v>0</v>
      </c>
      <c r="E54">
        <v>1</v>
      </c>
      <c r="F54">
        <v>25</v>
      </c>
      <c r="G54" t="s">
        <v>18</v>
      </c>
      <c r="H54" t="s">
        <v>19</v>
      </c>
      <c r="I54">
        <v>0</v>
      </c>
      <c r="J54">
        <v>23.9</v>
      </c>
      <c r="K54">
        <v>1.6851234810164099E-2</v>
      </c>
      <c r="L54">
        <v>0</v>
      </c>
      <c r="M54">
        <v>0</v>
      </c>
      <c r="N54">
        <v>23.9</v>
      </c>
      <c r="O54">
        <v>0</v>
      </c>
      <c r="P54">
        <v>7.0507258619933403E-4</v>
      </c>
    </row>
    <row r="55" spans="1:16" x14ac:dyDescent="0.2">
      <c r="A55" t="s">
        <v>16</v>
      </c>
      <c r="B55" t="s">
        <v>17</v>
      </c>
      <c r="C55">
        <v>0</v>
      </c>
      <c r="D55">
        <v>0</v>
      </c>
      <c r="E55">
        <v>1</v>
      </c>
      <c r="F55">
        <v>25</v>
      </c>
      <c r="G55" t="s">
        <v>18</v>
      </c>
      <c r="H55" t="s">
        <v>22</v>
      </c>
      <c r="I55">
        <v>0</v>
      </c>
      <c r="J55">
        <v>24.5</v>
      </c>
      <c r="K55">
        <v>1.20510966497951E-2</v>
      </c>
      <c r="L55">
        <v>0</v>
      </c>
      <c r="M55">
        <v>0</v>
      </c>
      <c r="N55">
        <v>24.5</v>
      </c>
      <c r="O55">
        <v>0</v>
      </c>
      <c r="P55">
        <v>4.9188149591000501E-4</v>
      </c>
    </row>
    <row r="56" spans="1:16" x14ac:dyDescent="0.2">
      <c r="A56" t="s">
        <v>16</v>
      </c>
      <c r="B56" t="s">
        <v>17</v>
      </c>
      <c r="C56">
        <v>0</v>
      </c>
      <c r="D56">
        <v>0</v>
      </c>
      <c r="E56">
        <v>1</v>
      </c>
      <c r="F56">
        <v>25</v>
      </c>
      <c r="G56" t="s">
        <v>23</v>
      </c>
      <c r="H56" t="s">
        <v>19</v>
      </c>
      <c r="I56">
        <v>0</v>
      </c>
      <c r="J56">
        <v>24.5</v>
      </c>
      <c r="K56">
        <v>3.9976944753933102E-3</v>
      </c>
      <c r="L56">
        <v>0</v>
      </c>
      <c r="M56">
        <v>0</v>
      </c>
      <c r="N56">
        <v>24.5</v>
      </c>
      <c r="O56">
        <v>0</v>
      </c>
      <c r="P56">
        <v>1.6317120307727799E-4</v>
      </c>
    </row>
    <row r="57" spans="1:16" x14ac:dyDescent="0.2">
      <c r="A57" t="s">
        <v>16</v>
      </c>
      <c r="B57" t="s">
        <v>17</v>
      </c>
      <c r="C57">
        <v>0</v>
      </c>
      <c r="D57">
        <v>0</v>
      </c>
      <c r="E57">
        <v>1</v>
      </c>
      <c r="F57">
        <v>25</v>
      </c>
      <c r="G57" t="s">
        <v>23</v>
      </c>
      <c r="H57" t="s">
        <v>22</v>
      </c>
      <c r="I57">
        <v>0</v>
      </c>
      <c r="J57">
        <v>24.5</v>
      </c>
      <c r="K57">
        <v>3.1065548306927599E-3</v>
      </c>
      <c r="L57">
        <v>0</v>
      </c>
      <c r="M57">
        <v>0</v>
      </c>
      <c r="N57">
        <v>24.5</v>
      </c>
      <c r="O57">
        <v>0</v>
      </c>
      <c r="P57">
        <v>1.2679815635480699E-4</v>
      </c>
    </row>
    <row r="58" spans="1:16" x14ac:dyDescent="0.2">
      <c r="A58" t="s">
        <v>16</v>
      </c>
      <c r="B58" t="s">
        <v>17</v>
      </c>
      <c r="C58">
        <v>0</v>
      </c>
      <c r="D58">
        <v>0</v>
      </c>
      <c r="E58">
        <v>1</v>
      </c>
      <c r="F58">
        <v>50</v>
      </c>
      <c r="G58" t="s">
        <v>18</v>
      </c>
      <c r="H58" t="s">
        <v>19</v>
      </c>
      <c r="I58">
        <v>0</v>
      </c>
      <c r="J58">
        <v>43.46</v>
      </c>
      <c r="K58">
        <v>1.6851670115209199E-2</v>
      </c>
      <c r="L58">
        <v>0</v>
      </c>
      <c r="M58">
        <v>0</v>
      </c>
      <c r="N58">
        <v>43.46</v>
      </c>
      <c r="O58">
        <v>0</v>
      </c>
      <c r="P58">
        <v>3.8775126818244899E-4</v>
      </c>
    </row>
    <row r="59" spans="1:16" x14ac:dyDescent="0.2">
      <c r="A59" t="s">
        <v>16</v>
      </c>
      <c r="B59" t="s">
        <v>17</v>
      </c>
      <c r="C59">
        <v>0</v>
      </c>
      <c r="D59">
        <v>0</v>
      </c>
      <c r="E59">
        <v>1</v>
      </c>
      <c r="F59">
        <v>50</v>
      </c>
      <c r="G59" t="s">
        <v>18</v>
      </c>
      <c r="H59" t="s">
        <v>22</v>
      </c>
      <c r="I59">
        <v>0</v>
      </c>
      <c r="J59">
        <v>49</v>
      </c>
      <c r="K59">
        <v>1.5772870662460602E-2</v>
      </c>
      <c r="L59">
        <v>0</v>
      </c>
      <c r="M59">
        <v>0</v>
      </c>
      <c r="N59">
        <v>49</v>
      </c>
      <c r="O59">
        <v>0</v>
      </c>
      <c r="P59">
        <v>3.2189531964205202E-4</v>
      </c>
    </row>
    <row r="60" spans="1:16" x14ac:dyDescent="0.2">
      <c r="A60" t="s">
        <v>16</v>
      </c>
      <c r="B60" t="s">
        <v>17</v>
      </c>
      <c r="C60">
        <v>0</v>
      </c>
      <c r="D60">
        <v>0</v>
      </c>
      <c r="E60">
        <v>1</v>
      </c>
      <c r="F60">
        <v>50</v>
      </c>
      <c r="G60" t="s">
        <v>23</v>
      </c>
      <c r="H60" t="s">
        <v>19</v>
      </c>
      <c r="I60">
        <v>0</v>
      </c>
      <c r="J60">
        <v>49</v>
      </c>
      <c r="K60">
        <v>4.7487596984841004E-3</v>
      </c>
      <c r="L60">
        <v>0</v>
      </c>
      <c r="M60">
        <v>0</v>
      </c>
      <c r="N60">
        <v>49</v>
      </c>
      <c r="O60">
        <v>0</v>
      </c>
      <c r="P60">
        <v>9.6913463234369495E-5</v>
      </c>
    </row>
    <row r="61" spans="1:16" x14ac:dyDescent="0.2">
      <c r="A61" t="s">
        <v>16</v>
      </c>
      <c r="B61" t="s">
        <v>17</v>
      </c>
      <c r="C61">
        <v>0</v>
      </c>
      <c r="D61">
        <v>0</v>
      </c>
      <c r="E61">
        <v>1</v>
      </c>
      <c r="F61">
        <v>50</v>
      </c>
      <c r="G61" t="s">
        <v>23</v>
      </c>
      <c r="H61" t="s">
        <v>22</v>
      </c>
      <c r="I61">
        <v>0</v>
      </c>
      <c r="J61">
        <v>49</v>
      </c>
      <c r="K61">
        <v>3.4190371991247299E-3</v>
      </c>
      <c r="L61">
        <v>0</v>
      </c>
      <c r="M61">
        <v>0</v>
      </c>
      <c r="N61">
        <v>49</v>
      </c>
      <c r="O61">
        <v>0</v>
      </c>
      <c r="P61">
        <v>6.9776269369892403E-5</v>
      </c>
    </row>
    <row r="62" spans="1:16" x14ac:dyDescent="0.2">
      <c r="A62" t="s">
        <v>16</v>
      </c>
      <c r="B62" t="s">
        <v>17</v>
      </c>
      <c r="C62">
        <v>0</v>
      </c>
      <c r="D62">
        <v>0</v>
      </c>
      <c r="E62">
        <v>1</v>
      </c>
      <c r="F62">
        <v>75</v>
      </c>
      <c r="G62" t="s">
        <v>18</v>
      </c>
      <c r="H62" t="s">
        <v>19</v>
      </c>
      <c r="I62">
        <v>0</v>
      </c>
      <c r="J62">
        <v>61.38</v>
      </c>
      <c r="K62">
        <v>1.7600942326638402E-2</v>
      </c>
      <c r="L62">
        <v>0</v>
      </c>
      <c r="M62">
        <v>0</v>
      </c>
      <c r="N62">
        <v>61.38</v>
      </c>
      <c r="O62">
        <v>0</v>
      </c>
      <c r="P62">
        <v>2.8675370359463101E-4</v>
      </c>
    </row>
    <row r="63" spans="1:16" x14ac:dyDescent="0.2">
      <c r="A63" t="s">
        <v>16</v>
      </c>
      <c r="B63" t="s">
        <v>17</v>
      </c>
      <c r="C63">
        <v>0</v>
      </c>
      <c r="D63">
        <v>0</v>
      </c>
      <c r="E63">
        <v>1</v>
      </c>
      <c r="F63">
        <v>75</v>
      </c>
      <c r="G63" t="s">
        <v>18</v>
      </c>
      <c r="H63" t="s">
        <v>22</v>
      </c>
      <c r="I63">
        <v>0</v>
      </c>
      <c r="J63">
        <v>68.760000000000005</v>
      </c>
      <c r="K63">
        <v>1.6897600540723201E-2</v>
      </c>
      <c r="L63">
        <v>0</v>
      </c>
      <c r="M63">
        <v>0</v>
      </c>
      <c r="N63">
        <v>68.760000000000005</v>
      </c>
      <c r="O63">
        <v>0</v>
      </c>
      <c r="P63">
        <v>2.4574753549626603E-4</v>
      </c>
    </row>
    <row r="64" spans="1:16" x14ac:dyDescent="0.2">
      <c r="A64" t="s">
        <v>16</v>
      </c>
      <c r="B64" t="s">
        <v>17</v>
      </c>
      <c r="C64">
        <v>0</v>
      </c>
      <c r="D64">
        <v>0</v>
      </c>
      <c r="E64">
        <v>1</v>
      </c>
      <c r="F64">
        <v>75</v>
      </c>
      <c r="G64" t="s">
        <v>23</v>
      </c>
      <c r="H64" t="s">
        <v>19</v>
      </c>
      <c r="I64">
        <v>0</v>
      </c>
      <c r="J64">
        <v>73.5</v>
      </c>
      <c r="K64">
        <v>7.2091902541970296E-3</v>
      </c>
      <c r="L64">
        <v>0</v>
      </c>
      <c r="M64">
        <v>0</v>
      </c>
      <c r="N64">
        <v>73.5</v>
      </c>
      <c r="O64">
        <v>0</v>
      </c>
      <c r="P64">
        <v>9.80842211455378E-5</v>
      </c>
    </row>
    <row r="65" spans="1:16" x14ac:dyDescent="0.2">
      <c r="A65" t="s">
        <v>16</v>
      </c>
      <c r="B65" t="s">
        <v>17</v>
      </c>
      <c r="C65">
        <v>0</v>
      </c>
      <c r="D65">
        <v>0</v>
      </c>
      <c r="E65">
        <v>1</v>
      </c>
      <c r="F65">
        <v>75</v>
      </c>
      <c r="G65" t="s">
        <v>23</v>
      </c>
      <c r="H65" t="s">
        <v>22</v>
      </c>
      <c r="I65">
        <v>0</v>
      </c>
      <c r="J65">
        <v>73.5</v>
      </c>
      <c r="K65">
        <v>3.8246768148091502E-3</v>
      </c>
      <c r="L65">
        <v>0</v>
      </c>
      <c r="M65">
        <v>0</v>
      </c>
      <c r="N65">
        <v>73.5</v>
      </c>
      <c r="O65">
        <v>0</v>
      </c>
      <c r="P65">
        <v>5.2036419249104103E-5</v>
      </c>
    </row>
    <row r="66" spans="1:16" x14ac:dyDescent="0.2">
      <c r="A66" t="s">
        <v>16</v>
      </c>
      <c r="B66" t="s">
        <v>17</v>
      </c>
      <c r="C66">
        <v>0</v>
      </c>
      <c r="D66">
        <v>0</v>
      </c>
      <c r="E66">
        <v>1</v>
      </c>
      <c r="F66">
        <v>100</v>
      </c>
      <c r="G66" t="s">
        <v>18</v>
      </c>
      <c r="H66" t="s">
        <v>19</v>
      </c>
      <c r="I66">
        <v>0</v>
      </c>
      <c r="J66">
        <v>69.38</v>
      </c>
      <c r="K66">
        <v>1.9011942251239401E-2</v>
      </c>
      <c r="L66">
        <v>0</v>
      </c>
      <c r="M66">
        <v>0</v>
      </c>
      <c r="N66">
        <v>69.38</v>
      </c>
      <c r="O66">
        <v>0</v>
      </c>
      <c r="P66">
        <v>2.74026264791574E-4</v>
      </c>
    </row>
    <row r="67" spans="1:16" x14ac:dyDescent="0.2">
      <c r="A67" t="s">
        <v>16</v>
      </c>
      <c r="B67" t="s">
        <v>17</v>
      </c>
      <c r="C67">
        <v>0</v>
      </c>
      <c r="D67">
        <v>0</v>
      </c>
      <c r="E67">
        <v>1</v>
      </c>
      <c r="F67">
        <v>100</v>
      </c>
      <c r="G67" t="s">
        <v>18</v>
      </c>
      <c r="H67" t="s">
        <v>22</v>
      </c>
      <c r="I67">
        <v>0</v>
      </c>
      <c r="J67">
        <v>79.459999999999994</v>
      </c>
      <c r="K67">
        <v>1.81554103122731E-2</v>
      </c>
      <c r="L67">
        <v>0</v>
      </c>
      <c r="M67">
        <v>0</v>
      </c>
      <c r="N67">
        <v>79.459999999999994</v>
      </c>
      <c r="O67">
        <v>0</v>
      </c>
      <c r="P67">
        <v>2.2848490199185801E-4</v>
      </c>
    </row>
    <row r="68" spans="1:16" x14ac:dyDescent="0.2">
      <c r="A68" t="s">
        <v>16</v>
      </c>
      <c r="B68" t="s">
        <v>17</v>
      </c>
      <c r="C68">
        <v>0</v>
      </c>
      <c r="D68">
        <v>0</v>
      </c>
      <c r="E68">
        <v>1</v>
      </c>
      <c r="F68">
        <v>100</v>
      </c>
      <c r="G68" t="s">
        <v>23</v>
      </c>
      <c r="H68" t="s">
        <v>19</v>
      </c>
      <c r="I68">
        <v>0</v>
      </c>
      <c r="J68">
        <v>71.3</v>
      </c>
      <c r="K68">
        <v>1.16710510378202E-2</v>
      </c>
      <c r="L68">
        <v>0</v>
      </c>
      <c r="M68">
        <v>0</v>
      </c>
      <c r="N68">
        <v>71.3</v>
      </c>
      <c r="O68">
        <v>0</v>
      </c>
      <c r="P68">
        <v>1.6368935536914799E-4</v>
      </c>
    </row>
    <row r="69" spans="1:16" x14ac:dyDescent="0.2">
      <c r="A69" t="s">
        <v>16</v>
      </c>
      <c r="B69" t="s">
        <v>17</v>
      </c>
      <c r="C69">
        <v>0</v>
      </c>
      <c r="D69">
        <v>0</v>
      </c>
      <c r="E69">
        <v>1</v>
      </c>
      <c r="F69">
        <v>100</v>
      </c>
      <c r="G69" t="s">
        <v>23</v>
      </c>
      <c r="H69" t="s">
        <v>22</v>
      </c>
      <c r="I69">
        <v>0</v>
      </c>
      <c r="J69">
        <v>98</v>
      </c>
      <c r="K69">
        <v>4.6917519001595199E-3</v>
      </c>
      <c r="L69">
        <v>0</v>
      </c>
      <c r="M69">
        <v>0</v>
      </c>
      <c r="N69">
        <v>98</v>
      </c>
      <c r="O69">
        <v>0</v>
      </c>
      <c r="P69">
        <v>4.7875019389382899E-5</v>
      </c>
    </row>
    <row r="70" spans="1:16" x14ac:dyDescent="0.2">
      <c r="A70" t="s">
        <v>16</v>
      </c>
      <c r="B70" t="s">
        <v>17</v>
      </c>
      <c r="C70">
        <v>0</v>
      </c>
      <c r="D70">
        <v>0</v>
      </c>
      <c r="E70">
        <v>2</v>
      </c>
      <c r="F70">
        <v>25</v>
      </c>
      <c r="G70" t="s">
        <v>18</v>
      </c>
      <c r="H70" t="s">
        <v>19</v>
      </c>
      <c r="I70">
        <v>0</v>
      </c>
      <c r="J70">
        <v>12.48</v>
      </c>
      <c r="K70">
        <v>1.7234413810369598E-2</v>
      </c>
      <c r="L70">
        <v>0</v>
      </c>
      <c r="M70">
        <v>0</v>
      </c>
      <c r="N70">
        <v>12.48</v>
      </c>
      <c r="O70">
        <v>0</v>
      </c>
      <c r="P70">
        <v>1.38096264506166E-3</v>
      </c>
    </row>
    <row r="71" spans="1:16" x14ac:dyDescent="0.2">
      <c r="A71" t="s">
        <v>16</v>
      </c>
      <c r="B71" t="s">
        <v>17</v>
      </c>
      <c r="C71">
        <v>0</v>
      </c>
      <c r="D71">
        <v>0</v>
      </c>
      <c r="E71">
        <v>2</v>
      </c>
      <c r="F71">
        <v>25</v>
      </c>
      <c r="G71" t="s">
        <v>18</v>
      </c>
      <c r="H71" t="s">
        <v>22</v>
      </c>
      <c r="I71">
        <v>0</v>
      </c>
      <c r="J71">
        <v>12.5</v>
      </c>
      <c r="K71">
        <v>1.06179655977915E-2</v>
      </c>
      <c r="L71">
        <v>0</v>
      </c>
      <c r="M71">
        <v>0</v>
      </c>
      <c r="N71">
        <v>12.5</v>
      </c>
      <c r="O71">
        <v>0</v>
      </c>
      <c r="P71">
        <v>8.4943724782331697E-4</v>
      </c>
    </row>
    <row r="72" spans="1:16" x14ac:dyDescent="0.2">
      <c r="A72" t="s">
        <v>16</v>
      </c>
      <c r="B72" t="s">
        <v>17</v>
      </c>
      <c r="C72">
        <v>0</v>
      </c>
      <c r="D72">
        <v>0</v>
      </c>
      <c r="E72">
        <v>2</v>
      </c>
      <c r="F72">
        <v>25</v>
      </c>
      <c r="G72" t="s">
        <v>23</v>
      </c>
      <c r="H72" t="s">
        <v>19</v>
      </c>
      <c r="I72">
        <v>0</v>
      </c>
      <c r="J72">
        <v>12.5</v>
      </c>
      <c r="K72">
        <v>3.7549030617337301E-3</v>
      </c>
      <c r="L72">
        <v>0</v>
      </c>
      <c r="M72">
        <v>0</v>
      </c>
      <c r="N72">
        <v>12.5</v>
      </c>
      <c r="O72">
        <v>0</v>
      </c>
      <c r="P72">
        <v>3.0039224493869901E-4</v>
      </c>
    </row>
    <row r="73" spans="1:16" x14ac:dyDescent="0.2">
      <c r="A73" t="s">
        <v>16</v>
      </c>
      <c r="B73" t="s">
        <v>17</v>
      </c>
      <c r="C73">
        <v>0</v>
      </c>
      <c r="D73">
        <v>0</v>
      </c>
      <c r="E73">
        <v>2</v>
      </c>
      <c r="F73">
        <v>25</v>
      </c>
      <c r="G73" t="s">
        <v>23</v>
      </c>
      <c r="H73" t="s">
        <v>22</v>
      </c>
      <c r="I73">
        <v>0</v>
      </c>
      <c r="J73">
        <v>12.5</v>
      </c>
      <c r="K73">
        <v>2.9756591084925299E-3</v>
      </c>
      <c r="L73">
        <v>0</v>
      </c>
      <c r="M73">
        <v>0</v>
      </c>
      <c r="N73">
        <v>12.5</v>
      </c>
      <c r="O73">
        <v>0</v>
      </c>
      <c r="P73">
        <v>2.3805272867940299E-4</v>
      </c>
    </row>
    <row r="74" spans="1:16" x14ac:dyDescent="0.2">
      <c r="A74" t="s">
        <v>16</v>
      </c>
      <c r="B74" t="s">
        <v>17</v>
      </c>
      <c r="C74">
        <v>0</v>
      </c>
      <c r="D74">
        <v>0</v>
      </c>
      <c r="E74">
        <v>2</v>
      </c>
      <c r="F74">
        <v>50</v>
      </c>
      <c r="G74" t="s">
        <v>18</v>
      </c>
      <c r="H74" t="s">
        <v>19</v>
      </c>
      <c r="I74">
        <v>0</v>
      </c>
      <c r="J74">
        <v>21.72</v>
      </c>
      <c r="K74">
        <v>1.7242156172451902E-2</v>
      </c>
      <c r="L74">
        <v>0</v>
      </c>
      <c r="M74">
        <v>0</v>
      </c>
      <c r="N74">
        <v>21.72</v>
      </c>
      <c r="O74">
        <v>0</v>
      </c>
      <c r="P74">
        <v>7.9383776116261301E-4</v>
      </c>
    </row>
    <row r="75" spans="1:16" x14ac:dyDescent="0.2">
      <c r="A75" t="s">
        <v>16</v>
      </c>
      <c r="B75" t="s">
        <v>17</v>
      </c>
      <c r="C75">
        <v>0</v>
      </c>
      <c r="D75">
        <v>0</v>
      </c>
      <c r="E75">
        <v>2</v>
      </c>
      <c r="F75">
        <v>50</v>
      </c>
      <c r="G75" t="s">
        <v>18</v>
      </c>
      <c r="H75" t="s">
        <v>22</v>
      </c>
      <c r="I75">
        <v>0</v>
      </c>
      <c r="J75">
        <v>25</v>
      </c>
      <c r="K75">
        <v>1.1811953697141501E-2</v>
      </c>
      <c r="L75">
        <v>0</v>
      </c>
      <c r="M75">
        <v>0</v>
      </c>
      <c r="N75">
        <v>25</v>
      </c>
      <c r="O75">
        <v>0</v>
      </c>
      <c r="P75">
        <v>4.7247814788566002E-4</v>
      </c>
    </row>
    <row r="76" spans="1:16" x14ac:dyDescent="0.2">
      <c r="A76" t="s">
        <v>16</v>
      </c>
      <c r="B76" t="s">
        <v>17</v>
      </c>
      <c r="C76">
        <v>0</v>
      </c>
      <c r="D76">
        <v>0</v>
      </c>
      <c r="E76">
        <v>2</v>
      </c>
      <c r="F76">
        <v>50</v>
      </c>
      <c r="G76" t="s">
        <v>23</v>
      </c>
      <c r="H76" t="s">
        <v>19</v>
      </c>
      <c r="I76">
        <v>0</v>
      </c>
      <c r="J76">
        <v>25</v>
      </c>
      <c r="K76">
        <v>3.9986232397321896E-3</v>
      </c>
      <c r="L76">
        <v>0</v>
      </c>
      <c r="M76">
        <v>0</v>
      </c>
      <c r="N76">
        <v>25</v>
      </c>
      <c r="O76">
        <v>0</v>
      </c>
      <c r="P76">
        <v>1.59944929589288E-4</v>
      </c>
    </row>
    <row r="77" spans="1:16" x14ac:dyDescent="0.2">
      <c r="A77" t="s">
        <v>16</v>
      </c>
      <c r="B77" t="s">
        <v>17</v>
      </c>
      <c r="C77">
        <v>0</v>
      </c>
      <c r="D77">
        <v>0</v>
      </c>
      <c r="E77">
        <v>2</v>
      </c>
      <c r="F77">
        <v>50</v>
      </c>
      <c r="G77" t="s">
        <v>23</v>
      </c>
      <c r="H77" t="s">
        <v>22</v>
      </c>
      <c r="I77">
        <v>0</v>
      </c>
      <c r="J77">
        <v>25</v>
      </c>
      <c r="K77">
        <v>3.1067478563439801E-3</v>
      </c>
      <c r="L77">
        <v>0</v>
      </c>
      <c r="M77">
        <v>0</v>
      </c>
      <c r="N77">
        <v>25</v>
      </c>
      <c r="O77">
        <v>0</v>
      </c>
      <c r="P77">
        <v>1.24269914253759E-4</v>
      </c>
    </row>
    <row r="78" spans="1:16" x14ac:dyDescent="0.2">
      <c r="A78" t="s">
        <v>16</v>
      </c>
      <c r="B78" t="s">
        <v>17</v>
      </c>
      <c r="C78">
        <v>0</v>
      </c>
      <c r="D78">
        <v>0</v>
      </c>
      <c r="E78">
        <v>2</v>
      </c>
      <c r="F78">
        <v>75</v>
      </c>
      <c r="G78" t="s">
        <v>18</v>
      </c>
      <c r="H78" t="s">
        <v>19</v>
      </c>
      <c r="I78">
        <v>0</v>
      </c>
      <c r="J78">
        <v>31.4</v>
      </c>
      <c r="K78">
        <v>1.77056020845494E-2</v>
      </c>
      <c r="L78">
        <v>0</v>
      </c>
      <c r="M78">
        <v>0</v>
      </c>
      <c r="N78">
        <v>31.4</v>
      </c>
      <c r="O78">
        <v>0</v>
      </c>
      <c r="P78">
        <v>5.6387267785189103E-4</v>
      </c>
    </row>
    <row r="79" spans="1:16" x14ac:dyDescent="0.2">
      <c r="A79" t="s">
        <v>16</v>
      </c>
      <c r="B79" t="s">
        <v>17</v>
      </c>
      <c r="C79">
        <v>0</v>
      </c>
      <c r="D79">
        <v>0</v>
      </c>
      <c r="E79">
        <v>2</v>
      </c>
      <c r="F79">
        <v>75</v>
      </c>
      <c r="G79" t="s">
        <v>18</v>
      </c>
      <c r="H79" t="s">
        <v>22</v>
      </c>
      <c r="I79">
        <v>0</v>
      </c>
      <c r="J79">
        <v>37.5</v>
      </c>
      <c r="K79">
        <v>1.41362736782584E-2</v>
      </c>
      <c r="L79">
        <v>0</v>
      </c>
      <c r="M79">
        <v>0</v>
      </c>
      <c r="N79">
        <v>37.5</v>
      </c>
      <c r="O79">
        <v>0</v>
      </c>
      <c r="P79">
        <v>3.7696729808689102E-4</v>
      </c>
    </row>
    <row r="80" spans="1:16" x14ac:dyDescent="0.2">
      <c r="A80" t="s">
        <v>16</v>
      </c>
      <c r="B80" t="s">
        <v>17</v>
      </c>
      <c r="C80">
        <v>0</v>
      </c>
      <c r="D80">
        <v>0</v>
      </c>
      <c r="E80">
        <v>2</v>
      </c>
      <c r="F80">
        <v>75</v>
      </c>
      <c r="G80" t="s">
        <v>23</v>
      </c>
      <c r="H80" t="s">
        <v>19</v>
      </c>
      <c r="I80">
        <v>0</v>
      </c>
      <c r="J80">
        <v>37.5</v>
      </c>
      <c r="K80">
        <v>4.3308577272415504E-3</v>
      </c>
      <c r="L80">
        <v>0</v>
      </c>
      <c r="M80">
        <v>0</v>
      </c>
      <c r="N80">
        <v>37.5</v>
      </c>
      <c r="O80">
        <v>0</v>
      </c>
      <c r="P80">
        <v>1.15489539393108E-4</v>
      </c>
    </row>
    <row r="81" spans="1:16" x14ac:dyDescent="0.2">
      <c r="A81" t="s">
        <v>16</v>
      </c>
      <c r="B81" t="s">
        <v>17</v>
      </c>
      <c r="C81">
        <v>0</v>
      </c>
      <c r="D81">
        <v>0</v>
      </c>
      <c r="E81">
        <v>2</v>
      </c>
      <c r="F81">
        <v>75</v>
      </c>
      <c r="G81" t="s">
        <v>23</v>
      </c>
      <c r="H81" t="s">
        <v>22</v>
      </c>
      <c r="I81">
        <v>0</v>
      </c>
      <c r="J81">
        <v>37.5</v>
      </c>
      <c r="K81">
        <v>3.2503412858350101E-3</v>
      </c>
      <c r="L81">
        <v>0</v>
      </c>
      <c r="M81">
        <v>0</v>
      </c>
      <c r="N81">
        <v>37.5</v>
      </c>
      <c r="O81">
        <v>0</v>
      </c>
      <c r="P81">
        <v>8.6675767622266999E-5</v>
      </c>
    </row>
    <row r="82" spans="1:16" x14ac:dyDescent="0.2">
      <c r="A82" t="s">
        <v>16</v>
      </c>
      <c r="B82" t="s">
        <v>17</v>
      </c>
      <c r="C82">
        <v>0</v>
      </c>
      <c r="D82">
        <v>0</v>
      </c>
      <c r="E82">
        <v>2</v>
      </c>
      <c r="F82">
        <v>100</v>
      </c>
      <c r="G82" t="s">
        <v>18</v>
      </c>
      <c r="H82" t="s">
        <v>19</v>
      </c>
      <c r="I82">
        <v>0</v>
      </c>
      <c r="J82">
        <v>34.4</v>
      </c>
      <c r="K82">
        <v>1.8529335755823599E-2</v>
      </c>
      <c r="L82">
        <v>0</v>
      </c>
      <c r="M82">
        <v>0</v>
      </c>
      <c r="N82">
        <v>34.4</v>
      </c>
      <c r="O82">
        <v>0</v>
      </c>
      <c r="P82">
        <v>5.3864348127394203E-4</v>
      </c>
    </row>
    <row r="83" spans="1:16" x14ac:dyDescent="0.2">
      <c r="A83" t="s">
        <v>16</v>
      </c>
      <c r="B83" t="s">
        <v>17</v>
      </c>
      <c r="C83">
        <v>0</v>
      </c>
      <c r="D83">
        <v>0</v>
      </c>
      <c r="E83">
        <v>2</v>
      </c>
      <c r="F83">
        <v>100</v>
      </c>
      <c r="G83" t="s">
        <v>18</v>
      </c>
      <c r="H83" t="s">
        <v>22</v>
      </c>
      <c r="I83">
        <v>0</v>
      </c>
      <c r="J83">
        <v>47.28</v>
      </c>
      <c r="K83">
        <v>1.58127767235927E-2</v>
      </c>
      <c r="L83">
        <v>0</v>
      </c>
      <c r="M83">
        <v>0</v>
      </c>
      <c r="N83">
        <v>47.28</v>
      </c>
      <c r="O83">
        <v>0</v>
      </c>
      <c r="P83">
        <v>3.34449592292569E-4</v>
      </c>
    </row>
    <row r="84" spans="1:16" x14ac:dyDescent="0.2">
      <c r="A84" t="s">
        <v>16</v>
      </c>
      <c r="B84" t="s">
        <v>17</v>
      </c>
      <c r="C84">
        <v>0</v>
      </c>
      <c r="D84">
        <v>0</v>
      </c>
      <c r="E84">
        <v>2</v>
      </c>
      <c r="F84">
        <v>100</v>
      </c>
      <c r="G84" t="s">
        <v>23</v>
      </c>
      <c r="H84" t="s">
        <v>19</v>
      </c>
      <c r="I84">
        <v>0</v>
      </c>
      <c r="J84">
        <v>50</v>
      </c>
      <c r="K84">
        <v>4.8190704946046896E-3</v>
      </c>
      <c r="L84">
        <v>0</v>
      </c>
      <c r="M84">
        <v>0</v>
      </c>
      <c r="N84">
        <v>50</v>
      </c>
      <c r="O84">
        <v>0</v>
      </c>
      <c r="P84">
        <v>9.6381409892093897E-5</v>
      </c>
    </row>
    <row r="85" spans="1:16" x14ac:dyDescent="0.2">
      <c r="A85" t="s">
        <v>16</v>
      </c>
      <c r="B85" t="s">
        <v>17</v>
      </c>
      <c r="C85">
        <v>0</v>
      </c>
      <c r="D85">
        <v>0</v>
      </c>
      <c r="E85">
        <v>2</v>
      </c>
      <c r="F85">
        <v>100</v>
      </c>
      <c r="G85" t="s">
        <v>23</v>
      </c>
      <c r="H85" t="s">
        <v>22</v>
      </c>
      <c r="I85">
        <v>0</v>
      </c>
      <c r="J85">
        <v>50</v>
      </c>
      <c r="K85">
        <v>3.4293552812071299E-3</v>
      </c>
      <c r="L85">
        <v>0</v>
      </c>
      <c r="M85">
        <v>0</v>
      </c>
      <c r="N85">
        <v>50</v>
      </c>
      <c r="O85">
        <v>0</v>
      </c>
      <c r="P85">
        <v>6.8587105624142705E-5</v>
      </c>
    </row>
    <row r="86" spans="1:16" x14ac:dyDescent="0.2">
      <c r="A86" t="s">
        <v>16</v>
      </c>
      <c r="B86" t="s">
        <v>17</v>
      </c>
      <c r="C86">
        <v>0</v>
      </c>
      <c r="D86">
        <v>0</v>
      </c>
      <c r="E86">
        <v>5</v>
      </c>
      <c r="F86">
        <v>25</v>
      </c>
      <c r="G86" t="s">
        <v>18</v>
      </c>
      <c r="H86" t="s">
        <v>19</v>
      </c>
      <c r="I86">
        <v>0</v>
      </c>
      <c r="J86">
        <v>5</v>
      </c>
      <c r="K86">
        <v>1.7524716153445599E-2</v>
      </c>
      <c r="L86">
        <v>0</v>
      </c>
      <c r="M86">
        <v>0</v>
      </c>
      <c r="N86">
        <v>5</v>
      </c>
      <c r="O86">
        <v>0</v>
      </c>
      <c r="P86">
        <v>3.5049432306891201E-3</v>
      </c>
    </row>
    <row r="87" spans="1:16" x14ac:dyDescent="0.2">
      <c r="A87" t="s">
        <v>16</v>
      </c>
      <c r="B87" t="s">
        <v>17</v>
      </c>
      <c r="C87">
        <v>0</v>
      </c>
      <c r="D87">
        <v>0</v>
      </c>
      <c r="E87">
        <v>5</v>
      </c>
      <c r="F87">
        <v>25</v>
      </c>
      <c r="G87" t="s">
        <v>18</v>
      </c>
      <c r="H87" t="s">
        <v>22</v>
      </c>
      <c r="I87">
        <v>0</v>
      </c>
      <c r="J87">
        <v>5</v>
      </c>
      <c r="K87">
        <v>9.9009900990098994E-3</v>
      </c>
      <c r="L87">
        <v>0</v>
      </c>
      <c r="M87">
        <v>0</v>
      </c>
      <c r="N87">
        <v>5</v>
      </c>
      <c r="O87">
        <v>0</v>
      </c>
      <c r="P87">
        <v>1.9801980198019798E-3</v>
      </c>
    </row>
    <row r="88" spans="1:16" x14ac:dyDescent="0.2">
      <c r="A88" t="s">
        <v>16</v>
      </c>
      <c r="B88" t="s">
        <v>17</v>
      </c>
      <c r="C88">
        <v>0</v>
      </c>
      <c r="D88">
        <v>0</v>
      </c>
      <c r="E88">
        <v>5</v>
      </c>
      <c r="F88">
        <v>25</v>
      </c>
      <c r="G88" t="s">
        <v>23</v>
      </c>
      <c r="H88" t="s">
        <v>19</v>
      </c>
      <c r="I88">
        <v>0</v>
      </c>
      <c r="J88">
        <v>5</v>
      </c>
      <c r="K88">
        <v>3.65057666887279E-3</v>
      </c>
      <c r="L88">
        <v>0</v>
      </c>
      <c r="M88">
        <v>0</v>
      </c>
      <c r="N88">
        <v>5</v>
      </c>
      <c r="O88">
        <v>0</v>
      </c>
      <c r="P88">
        <v>7.3011533377455903E-4</v>
      </c>
    </row>
    <row r="89" spans="1:16" x14ac:dyDescent="0.2">
      <c r="A89" t="s">
        <v>16</v>
      </c>
      <c r="B89" t="s">
        <v>17</v>
      </c>
      <c r="C89">
        <v>0</v>
      </c>
      <c r="D89">
        <v>0</v>
      </c>
      <c r="E89">
        <v>5</v>
      </c>
      <c r="F89">
        <v>25</v>
      </c>
      <c r="G89" t="s">
        <v>23</v>
      </c>
      <c r="H89" t="s">
        <v>22</v>
      </c>
      <c r="I89">
        <v>0</v>
      </c>
      <c r="J89">
        <v>5</v>
      </c>
      <c r="K89">
        <v>2.9125648045668999E-3</v>
      </c>
      <c r="L89">
        <v>0</v>
      </c>
      <c r="M89">
        <v>0</v>
      </c>
      <c r="N89">
        <v>5</v>
      </c>
      <c r="O89">
        <v>0</v>
      </c>
      <c r="P89">
        <v>5.8251296091337999E-4</v>
      </c>
    </row>
    <row r="90" spans="1:16" x14ac:dyDescent="0.2">
      <c r="A90" t="s">
        <v>16</v>
      </c>
      <c r="B90" t="s">
        <v>17</v>
      </c>
      <c r="C90">
        <v>0</v>
      </c>
      <c r="D90">
        <v>0</v>
      </c>
      <c r="E90">
        <v>5</v>
      </c>
      <c r="F90">
        <v>50</v>
      </c>
      <c r="G90" t="s">
        <v>18</v>
      </c>
      <c r="H90" t="s">
        <v>19</v>
      </c>
      <c r="I90">
        <v>0</v>
      </c>
      <c r="J90">
        <v>8.64</v>
      </c>
      <c r="K90">
        <v>1.7533887473974E-2</v>
      </c>
      <c r="L90">
        <v>0</v>
      </c>
      <c r="M90">
        <v>0</v>
      </c>
      <c r="N90">
        <v>8.64</v>
      </c>
      <c r="O90">
        <v>0</v>
      </c>
      <c r="P90">
        <v>2.0293851243025499E-3</v>
      </c>
    </row>
    <row r="91" spans="1:16" x14ac:dyDescent="0.2">
      <c r="A91" t="s">
        <v>16</v>
      </c>
      <c r="B91" t="s">
        <v>17</v>
      </c>
      <c r="C91">
        <v>0</v>
      </c>
      <c r="D91">
        <v>0</v>
      </c>
      <c r="E91">
        <v>5</v>
      </c>
      <c r="F91">
        <v>50</v>
      </c>
      <c r="G91" t="s">
        <v>18</v>
      </c>
      <c r="H91" t="s">
        <v>22</v>
      </c>
      <c r="I91">
        <v>0</v>
      </c>
      <c r="J91">
        <v>10</v>
      </c>
      <c r="K91">
        <v>1.02124183006536E-2</v>
      </c>
      <c r="L91">
        <v>0</v>
      </c>
      <c r="M91">
        <v>0</v>
      </c>
      <c r="N91">
        <v>10</v>
      </c>
      <c r="O91">
        <v>0</v>
      </c>
      <c r="P91">
        <v>1.02124183006536E-3</v>
      </c>
    </row>
    <row r="92" spans="1:16" x14ac:dyDescent="0.2">
      <c r="A92" t="s">
        <v>16</v>
      </c>
      <c r="B92" t="s">
        <v>17</v>
      </c>
      <c r="C92">
        <v>0</v>
      </c>
      <c r="D92">
        <v>0</v>
      </c>
      <c r="E92">
        <v>5</v>
      </c>
      <c r="F92">
        <v>50</v>
      </c>
      <c r="G92" t="s">
        <v>23</v>
      </c>
      <c r="H92" t="s">
        <v>19</v>
      </c>
      <c r="I92">
        <v>0</v>
      </c>
      <c r="J92">
        <v>10</v>
      </c>
      <c r="K92">
        <v>3.7222994881887499E-3</v>
      </c>
      <c r="L92">
        <v>0</v>
      </c>
      <c r="M92">
        <v>0</v>
      </c>
      <c r="N92">
        <v>10</v>
      </c>
      <c r="O92">
        <v>0</v>
      </c>
      <c r="P92">
        <v>3.7222994881887499E-4</v>
      </c>
    </row>
    <row r="93" spans="1:16" x14ac:dyDescent="0.2">
      <c r="A93" t="s">
        <v>16</v>
      </c>
      <c r="B93" t="s">
        <v>17</v>
      </c>
      <c r="C93">
        <v>0</v>
      </c>
      <c r="D93">
        <v>0</v>
      </c>
      <c r="E93">
        <v>5</v>
      </c>
      <c r="F93">
        <v>50</v>
      </c>
      <c r="G93" t="s">
        <v>23</v>
      </c>
      <c r="H93" t="s">
        <v>22</v>
      </c>
      <c r="I93">
        <v>0</v>
      </c>
      <c r="J93">
        <v>10</v>
      </c>
      <c r="K93">
        <v>2.9605068387708001E-3</v>
      </c>
      <c r="L93">
        <v>0</v>
      </c>
      <c r="M93">
        <v>0</v>
      </c>
      <c r="N93">
        <v>10</v>
      </c>
      <c r="O93">
        <v>0</v>
      </c>
      <c r="P93">
        <v>2.9605068387707998E-4</v>
      </c>
    </row>
    <row r="94" spans="1:16" x14ac:dyDescent="0.2">
      <c r="A94" t="s">
        <v>16</v>
      </c>
      <c r="B94" t="s">
        <v>17</v>
      </c>
      <c r="C94">
        <v>0</v>
      </c>
      <c r="D94">
        <v>0</v>
      </c>
      <c r="E94">
        <v>5</v>
      </c>
      <c r="F94">
        <v>75</v>
      </c>
      <c r="G94" t="s">
        <v>18</v>
      </c>
      <c r="H94" t="s">
        <v>19</v>
      </c>
      <c r="I94">
        <v>0</v>
      </c>
      <c r="J94">
        <v>12.5</v>
      </c>
      <c r="K94">
        <v>1.7747472516208701E-2</v>
      </c>
      <c r="L94">
        <v>0</v>
      </c>
      <c r="M94">
        <v>0</v>
      </c>
      <c r="N94">
        <v>12.5</v>
      </c>
      <c r="O94">
        <v>0</v>
      </c>
      <c r="P94">
        <v>1.4197978012967E-3</v>
      </c>
    </row>
    <row r="95" spans="1:16" x14ac:dyDescent="0.2">
      <c r="A95" t="s">
        <v>16</v>
      </c>
      <c r="B95" t="s">
        <v>17</v>
      </c>
      <c r="C95">
        <v>0</v>
      </c>
      <c r="D95">
        <v>0</v>
      </c>
      <c r="E95">
        <v>5</v>
      </c>
      <c r="F95">
        <v>75</v>
      </c>
      <c r="G95" t="s">
        <v>18</v>
      </c>
      <c r="H95" t="s">
        <v>22</v>
      </c>
      <c r="I95">
        <v>0</v>
      </c>
      <c r="J95">
        <v>15</v>
      </c>
      <c r="K95">
        <v>1.05130361648444E-2</v>
      </c>
      <c r="L95">
        <v>0</v>
      </c>
      <c r="M95">
        <v>0</v>
      </c>
      <c r="N95">
        <v>15</v>
      </c>
      <c r="O95">
        <v>0</v>
      </c>
      <c r="P95">
        <v>7.0086907765629395E-4</v>
      </c>
    </row>
    <row r="96" spans="1:16" x14ac:dyDescent="0.2">
      <c r="A96" t="s">
        <v>16</v>
      </c>
      <c r="B96" t="s">
        <v>17</v>
      </c>
      <c r="C96">
        <v>0</v>
      </c>
      <c r="D96">
        <v>0</v>
      </c>
      <c r="E96">
        <v>5</v>
      </c>
      <c r="F96">
        <v>75</v>
      </c>
      <c r="G96" t="s">
        <v>23</v>
      </c>
      <c r="H96" t="s">
        <v>19</v>
      </c>
      <c r="I96">
        <v>0</v>
      </c>
      <c r="J96">
        <v>15</v>
      </c>
      <c r="K96">
        <v>3.8061576501165401E-3</v>
      </c>
      <c r="L96">
        <v>0</v>
      </c>
      <c r="M96">
        <v>0</v>
      </c>
      <c r="N96">
        <v>15</v>
      </c>
      <c r="O96">
        <v>0</v>
      </c>
      <c r="P96">
        <v>2.5374384334110302E-4</v>
      </c>
    </row>
    <row r="97" spans="1:16" x14ac:dyDescent="0.2">
      <c r="A97" t="s">
        <v>16</v>
      </c>
      <c r="B97" t="s">
        <v>17</v>
      </c>
      <c r="C97">
        <v>0</v>
      </c>
      <c r="D97">
        <v>0</v>
      </c>
      <c r="E97">
        <v>5</v>
      </c>
      <c r="F97">
        <v>75</v>
      </c>
      <c r="G97" t="s">
        <v>23</v>
      </c>
      <c r="H97" t="s">
        <v>22</v>
      </c>
      <c r="I97">
        <v>0</v>
      </c>
      <c r="J97">
        <v>15</v>
      </c>
      <c r="K97">
        <v>3.0204180258547801E-3</v>
      </c>
      <c r="L97">
        <v>0</v>
      </c>
      <c r="M97">
        <v>0</v>
      </c>
      <c r="N97">
        <v>15</v>
      </c>
      <c r="O97">
        <v>0</v>
      </c>
      <c r="P97">
        <v>2.01361201723652E-4</v>
      </c>
    </row>
    <row r="98" spans="1:16" x14ac:dyDescent="0.2">
      <c r="A98" t="s">
        <v>16</v>
      </c>
      <c r="B98" t="s">
        <v>17</v>
      </c>
      <c r="C98">
        <v>0</v>
      </c>
      <c r="D98">
        <v>0</v>
      </c>
      <c r="E98">
        <v>5</v>
      </c>
      <c r="F98">
        <v>100</v>
      </c>
      <c r="G98" t="s">
        <v>18</v>
      </c>
      <c r="H98" t="s">
        <v>19</v>
      </c>
      <c r="I98">
        <v>0</v>
      </c>
      <c r="J98">
        <v>15.42</v>
      </c>
      <c r="K98">
        <v>1.8099110857009701E-2</v>
      </c>
      <c r="L98">
        <v>0</v>
      </c>
      <c r="M98">
        <v>0</v>
      </c>
      <c r="N98">
        <v>15.42</v>
      </c>
      <c r="O98">
        <v>0</v>
      </c>
      <c r="P98">
        <v>1.17374259773085E-3</v>
      </c>
    </row>
    <row r="99" spans="1:16" x14ac:dyDescent="0.2">
      <c r="A99" t="s">
        <v>16</v>
      </c>
      <c r="B99" t="s">
        <v>17</v>
      </c>
      <c r="C99">
        <v>0</v>
      </c>
      <c r="D99">
        <v>0</v>
      </c>
      <c r="E99">
        <v>5</v>
      </c>
      <c r="F99">
        <v>100</v>
      </c>
      <c r="G99" t="s">
        <v>18</v>
      </c>
      <c r="H99" t="s">
        <v>22</v>
      </c>
      <c r="I99">
        <v>0</v>
      </c>
      <c r="J99">
        <v>20</v>
      </c>
      <c r="K99">
        <v>1.10963160230803E-2</v>
      </c>
      <c r="L99">
        <v>0</v>
      </c>
      <c r="M99">
        <v>0</v>
      </c>
      <c r="N99">
        <v>20</v>
      </c>
      <c r="O99">
        <v>0</v>
      </c>
      <c r="P99">
        <v>5.5481580115401699E-4</v>
      </c>
    </row>
    <row r="100" spans="1:16" x14ac:dyDescent="0.2">
      <c r="A100" t="s">
        <v>16</v>
      </c>
      <c r="B100" t="s">
        <v>17</v>
      </c>
      <c r="C100">
        <v>0</v>
      </c>
      <c r="D100">
        <v>0</v>
      </c>
      <c r="E100">
        <v>5</v>
      </c>
      <c r="F100">
        <v>100</v>
      </c>
      <c r="G100" t="s">
        <v>23</v>
      </c>
      <c r="H100" t="s">
        <v>19</v>
      </c>
      <c r="I100">
        <v>0</v>
      </c>
      <c r="J100">
        <v>20</v>
      </c>
      <c r="K100">
        <v>3.9367039659180701E-3</v>
      </c>
      <c r="L100">
        <v>0</v>
      </c>
      <c r="M100">
        <v>0</v>
      </c>
      <c r="N100">
        <v>20</v>
      </c>
      <c r="O100">
        <v>0</v>
      </c>
      <c r="P100">
        <v>1.96835198295904E-4</v>
      </c>
    </row>
    <row r="101" spans="1:16" x14ac:dyDescent="0.2">
      <c r="A101" t="s">
        <v>16</v>
      </c>
      <c r="B101" t="s">
        <v>17</v>
      </c>
      <c r="C101">
        <v>0</v>
      </c>
      <c r="D101">
        <v>0</v>
      </c>
      <c r="E101">
        <v>5</v>
      </c>
      <c r="F101">
        <v>100</v>
      </c>
      <c r="G101" t="s">
        <v>23</v>
      </c>
      <c r="H101" t="s">
        <v>22</v>
      </c>
      <c r="I101">
        <v>0</v>
      </c>
      <c r="J101">
        <v>20</v>
      </c>
      <c r="K101">
        <v>3.0684258975145801E-3</v>
      </c>
      <c r="L101">
        <v>0</v>
      </c>
      <c r="M101">
        <v>0</v>
      </c>
      <c r="N101">
        <v>20</v>
      </c>
      <c r="O101">
        <v>0</v>
      </c>
      <c r="P101">
        <v>1.53421294875729E-4</v>
      </c>
    </row>
    <row r="102" spans="1:16" x14ac:dyDescent="0.2">
      <c r="A102" t="s">
        <v>16</v>
      </c>
      <c r="B102" t="s">
        <v>24</v>
      </c>
      <c r="C102">
        <v>1</v>
      </c>
      <c r="D102">
        <v>12</v>
      </c>
      <c r="E102">
        <v>1</v>
      </c>
      <c r="F102">
        <v>12</v>
      </c>
      <c r="G102" t="s">
        <v>18</v>
      </c>
      <c r="H102" t="s">
        <v>19</v>
      </c>
      <c r="I102">
        <v>3.32</v>
      </c>
      <c r="J102">
        <v>3.28</v>
      </c>
      <c r="K102">
        <v>1.11092034075319E-2</v>
      </c>
      <c r="L102">
        <v>1</v>
      </c>
      <c r="M102">
        <v>71.3</v>
      </c>
      <c r="N102">
        <v>6.6</v>
      </c>
      <c r="O102">
        <v>10.803030303030299</v>
      </c>
      <c r="P102">
        <v>1.6832126375048301E-3</v>
      </c>
    </row>
    <row r="103" spans="1:16" x14ac:dyDescent="0.2">
      <c r="A103" t="s">
        <v>16</v>
      </c>
      <c r="B103" t="s">
        <v>24</v>
      </c>
      <c r="C103">
        <v>1</v>
      </c>
      <c r="D103">
        <v>12</v>
      </c>
      <c r="E103">
        <v>1</v>
      </c>
      <c r="F103">
        <v>12</v>
      </c>
      <c r="G103" t="s">
        <v>18</v>
      </c>
      <c r="H103" t="s">
        <v>22</v>
      </c>
      <c r="I103">
        <v>4.24</v>
      </c>
      <c r="J103">
        <v>4.22</v>
      </c>
      <c r="K103">
        <v>1.1133377866844801E-2</v>
      </c>
      <c r="L103">
        <v>1</v>
      </c>
      <c r="M103">
        <v>64</v>
      </c>
      <c r="N103">
        <v>8.4600000000000009</v>
      </c>
      <c r="O103">
        <v>7.5650118203309704</v>
      </c>
      <c r="P103">
        <v>1.3160021119201901E-3</v>
      </c>
    </row>
    <row r="104" spans="1:16" x14ac:dyDescent="0.2">
      <c r="A104" t="s">
        <v>16</v>
      </c>
      <c r="B104" t="s">
        <v>24</v>
      </c>
      <c r="C104">
        <v>1</v>
      </c>
      <c r="D104">
        <v>12</v>
      </c>
      <c r="E104">
        <v>1</v>
      </c>
      <c r="F104">
        <v>12</v>
      </c>
      <c r="G104" t="s">
        <v>23</v>
      </c>
      <c r="H104" t="s">
        <v>19</v>
      </c>
      <c r="I104">
        <v>11.02</v>
      </c>
      <c r="J104">
        <v>8.4</v>
      </c>
      <c r="K104">
        <v>7.9983007808561192E-3</v>
      </c>
      <c r="L104">
        <v>0.38800000000000001</v>
      </c>
      <c r="M104">
        <v>6.2880000000000003</v>
      </c>
      <c r="N104">
        <v>19.420000000000002</v>
      </c>
      <c r="O104">
        <v>0.32378990731204899</v>
      </c>
      <c r="P104">
        <v>4.1185894855077799E-4</v>
      </c>
    </row>
    <row r="105" spans="1:16" x14ac:dyDescent="0.2">
      <c r="A105" t="s">
        <v>16</v>
      </c>
      <c r="B105" t="s">
        <v>24</v>
      </c>
      <c r="C105">
        <v>1</v>
      </c>
      <c r="D105">
        <v>12</v>
      </c>
      <c r="E105">
        <v>1</v>
      </c>
      <c r="F105">
        <v>12</v>
      </c>
      <c r="G105" t="s">
        <v>23</v>
      </c>
      <c r="H105" t="s">
        <v>22</v>
      </c>
      <c r="I105">
        <v>11.76</v>
      </c>
      <c r="J105">
        <v>11.76</v>
      </c>
      <c r="K105">
        <v>3.3380065424928199E-3</v>
      </c>
      <c r="L105">
        <v>0</v>
      </c>
      <c r="M105">
        <v>0</v>
      </c>
      <c r="N105">
        <v>23.52</v>
      </c>
      <c r="O105">
        <v>0</v>
      </c>
      <c r="P105">
        <v>1.4192204687469499E-4</v>
      </c>
    </row>
    <row r="106" spans="1:16" x14ac:dyDescent="0.2">
      <c r="A106" t="s">
        <v>16</v>
      </c>
      <c r="B106" t="s">
        <v>24</v>
      </c>
      <c r="C106">
        <v>1</v>
      </c>
      <c r="D106">
        <v>25</v>
      </c>
      <c r="E106">
        <v>1</v>
      </c>
      <c r="F106">
        <v>25</v>
      </c>
      <c r="G106" t="s">
        <v>18</v>
      </c>
      <c r="H106" t="s">
        <v>19</v>
      </c>
      <c r="I106">
        <v>3.94</v>
      </c>
      <c r="J106">
        <v>4</v>
      </c>
      <c r="K106">
        <v>1.06916002548814E-2</v>
      </c>
      <c r="L106">
        <v>1</v>
      </c>
      <c r="M106">
        <v>82.296000000000006</v>
      </c>
      <c r="N106">
        <v>7.94</v>
      </c>
      <c r="O106">
        <v>10.3647355163728</v>
      </c>
      <c r="P106">
        <v>1.34654915048884E-3</v>
      </c>
    </row>
    <row r="107" spans="1:16" x14ac:dyDescent="0.2">
      <c r="A107" t="s">
        <v>16</v>
      </c>
      <c r="B107" t="s">
        <v>24</v>
      </c>
      <c r="C107">
        <v>1</v>
      </c>
      <c r="D107">
        <v>25</v>
      </c>
      <c r="E107">
        <v>1</v>
      </c>
      <c r="F107">
        <v>25</v>
      </c>
      <c r="G107" t="s">
        <v>18</v>
      </c>
      <c r="H107" t="s">
        <v>22</v>
      </c>
      <c r="I107">
        <v>4.5199999999999996</v>
      </c>
      <c r="J107">
        <v>4.42</v>
      </c>
      <c r="K107">
        <v>1.06746370623399E-2</v>
      </c>
      <c r="L107">
        <v>1</v>
      </c>
      <c r="M107">
        <v>80</v>
      </c>
      <c r="N107">
        <v>8.94</v>
      </c>
      <c r="O107">
        <v>8.9485458612975393</v>
      </c>
      <c r="P107">
        <v>1.19403099131319E-3</v>
      </c>
    </row>
    <row r="108" spans="1:16" x14ac:dyDescent="0.2">
      <c r="A108" t="s">
        <v>16</v>
      </c>
      <c r="B108" t="s">
        <v>24</v>
      </c>
      <c r="C108">
        <v>1</v>
      </c>
      <c r="D108">
        <v>25</v>
      </c>
      <c r="E108">
        <v>1</v>
      </c>
      <c r="F108">
        <v>25</v>
      </c>
      <c r="G108" t="s">
        <v>23</v>
      </c>
      <c r="H108" t="s">
        <v>19</v>
      </c>
      <c r="I108">
        <v>6.5</v>
      </c>
      <c r="J108">
        <v>7.22</v>
      </c>
      <c r="K108">
        <v>1.0352519490134399E-2</v>
      </c>
      <c r="L108">
        <v>1</v>
      </c>
      <c r="M108">
        <v>71.248000000000005</v>
      </c>
      <c r="N108">
        <v>13.72</v>
      </c>
      <c r="O108">
        <v>5.1930029154519</v>
      </c>
      <c r="P108">
        <v>7.5455681414973697E-4</v>
      </c>
    </row>
    <row r="109" spans="1:16" x14ac:dyDescent="0.2">
      <c r="A109" t="s">
        <v>16</v>
      </c>
      <c r="B109" t="s">
        <v>24</v>
      </c>
      <c r="C109">
        <v>1</v>
      </c>
      <c r="D109">
        <v>25</v>
      </c>
      <c r="E109">
        <v>1</v>
      </c>
      <c r="F109">
        <v>25</v>
      </c>
      <c r="G109" t="s">
        <v>23</v>
      </c>
      <c r="H109" t="s">
        <v>22</v>
      </c>
      <c r="I109">
        <v>11.06</v>
      </c>
      <c r="J109">
        <v>10.78</v>
      </c>
      <c r="K109">
        <v>9.5675468809797194E-3</v>
      </c>
      <c r="L109">
        <v>1</v>
      </c>
      <c r="M109">
        <v>54</v>
      </c>
      <c r="N109">
        <v>21.84</v>
      </c>
      <c r="O109">
        <v>2.47252747252747</v>
      </c>
      <c r="P109">
        <v>4.3807449088735002E-4</v>
      </c>
    </row>
    <row r="110" spans="1:16" x14ac:dyDescent="0.2">
      <c r="A110" t="s">
        <v>16</v>
      </c>
      <c r="B110" t="s">
        <v>24</v>
      </c>
      <c r="C110">
        <v>1</v>
      </c>
      <c r="D110">
        <v>37</v>
      </c>
      <c r="E110">
        <v>1</v>
      </c>
      <c r="F110">
        <v>37</v>
      </c>
      <c r="G110" t="s">
        <v>18</v>
      </c>
      <c r="H110" t="s">
        <v>19</v>
      </c>
      <c r="I110">
        <v>4.18</v>
      </c>
      <c r="J110">
        <v>3.88</v>
      </c>
      <c r="K110">
        <v>1.05713105374368E-2</v>
      </c>
      <c r="L110">
        <v>1</v>
      </c>
      <c r="M110">
        <v>86.132000000000005</v>
      </c>
      <c r="N110">
        <v>8.06</v>
      </c>
      <c r="O110">
        <v>10.6863523573201</v>
      </c>
      <c r="P110">
        <v>1.3115769897564301E-3</v>
      </c>
    </row>
    <row r="111" spans="1:16" x14ac:dyDescent="0.2">
      <c r="A111" t="s">
        <v>16</v>
      </c>
      <c r="B111" t="s">
        <v>24</v>
      </c>
      <c r="C111">
        <v>1</v>
      </c>
      <c r="D111">
        <v>37</v>
      </c>
      <c r="E111">
        <v>1</v>
      </c>
      <c r="F111">
        <v>37</v>
      </c>
      <c r="G111" t="s">
        <v>18</v>
      </c>
      <c r="H111" t="s">
        <v>22</v>
      </c>
      <c r="I111">
        <v>4.6399999999999997</v>
      </c>
      <c r="J111">
        <v>4.5199999999999996</v>
      </c>
      <c r="K111">
        <v>1.05507491031863E-2</v>
      </c>
      <c r="L111">
        <v>1</v>
      </c>
      <c r="M111">
        <v>84</v>
      </c>
      <c r="N111">
        <v>9.16</v>
      </c>
      <c r="O111">
        <v>9.1703056768558895</v>
      </c>
      <c r="P111">
        <v>1.15182850471466E-3</v>
      </c>
    </row>
    <row r="112" spans="1:16" x14ac:dyDescent="0.2">
      <c r="A112" t="s">
        <v>16</v>
      </c>
      <c r="B112" t="s">
        <v>24</v>
      </c>
      <c r="C112">
        <v>1</v>
      </c>
      <c r="D112">
        <v>37</v>
      </c>
      <c r="E112">
        <v>1</v>
      </c>
      <c r="F112">
        <v>37</v>
      </c>
      <c r="G112" t="s">
        <v>23</v>
      </c>
      <c r="H112" t="s">
        <v>19</v>
      </c>
      <c r="I112">
        <v>5.78</v>
      </c>
      <c r="J112">
        <v>5.3</v>
      </c>
      <c r="K112">
        <v>1.0424410918467899E-2</v>
      </c>
      <c r="L112">
        <v>1</v>
      </c>
      <c r="M112">
        <v>81.236000000000004</v>
      </c>
      <c r="N112">
        <v>11.08</v>
      </c>
      <c r="O112">
        <v>7.3317689530685897</v>
      </c>
      <c r="P112">
        <v>9.4083131033103804E-4</v>
      </c>
    </row>
    <row r="113" spans="1:16" x14ac:dyDescent="0.2">
      <c r="A113" t="s">
        <v>16</v>
      </c>
      <c r="B113" t="s">
        <v>24</v>
      </c>
      <c r="C113">
        <v>1</v>
      </c>
      <c r="D113">
        <v>37</v>
      </c>
      <c r="E113">
        <v>1</v>
      </c>
      <c r="F113">
        <v>37</v>
      </c>
      <c r="G113" t="s">
        <v>23</v>
      </c>
      <c r="H113" t="s">
        <v>22</v>
      </c>
      <c r="I113">
        <v>7.36</v>
      </c>
      <c r="J113">
        <v>7.02</v>
      </c>
      <c r="K113">
        <v>1.0279605263157901E-2</v>
      </c>
      <c r="L113">
        <v>1</v>
      </c>
      <c r="M113">
        <v>78</v>
      </c>
      <c r="N113">
        <v>14.38</v>
      </c>
      <c r="O113">
        <v>5.4242002781641201</v>
      </c>
      <c r="P113">
        <v>7.1485432984408196E-4</v>
      </c>
    </row>
    <row r="114" spans="1:16" x14ac:dyDescent="0.2">
      <c r="A114" t="s">
        <v>16</v>
      </c>
      <c r="B114" t="s">
        <v>24</v>
      </c>
      <c r="C114">
        <v>1</v>
      </c>
      <c r="D114">
        <v>50</v>
      </c>
      <c r="E114">
        <v>1</v>
      </c>
      <c r="F114">
        <v>50</v>
      </c>
      <c r="G114" t="s">
        <v>18</v>
      </c>
      <c r="H114" t="s">
        <v>19</v>
      </c>
      <c r="I114">
        <v>4.32</v>
      </c>
      <c r="J114">
        <v>4.0999999999999996</v>
      </c>
      <c r="K114">
        <v>1.0506626847820499E-2</v>
      </c>
      <c r="L114">
        <v>1</v>
      </c>
      <c r="M114">
        <v>88.483999999999995</v>
      </c>
      <c r="N114">
        <v>8.42</v>
      </c>
      <c r="O114">
        <v>10.5087885985748</v>
      </c>
      <c r="P114">
        <v>1.24781791541812E-3</v>
      </c>
    </row>
    <row r="115" spans="1:16" x14ac:dyDescent="0.2">
      <c r="A115" t="s">
        <v>16</v>
      </c>
      <c r="B115" t="s">
        <v>24</v>
      </c>
      <c r="C115">
        <v>1</v>
      </c>
      <c r="D115">
        <v>50</v>
      </c>
      <c r="E115">
        <v>1</v>
      </c>
      <c r="F115">
        <v>50</v>
      </c>
      <c r="G115" t="s">
        <v>18</v>
      </c>
      <c r="H115" t="s">
        <v>22</v>
      </c>
      <c r="I115">
        <v>4.7</v>
      </c>
      <c r="J115">
        <v>4.5</v>
      </c>
      <c r="K115">
        <v>1.0501995379121999E-2</v>
      </c>
      <c r="L115">
        <v>1</v>
      </c>
      <c r="M115">
        <v>88</v>
      </c>
      <c r="N115">
        <v>9.1999999999999993</v>
      </c>
      <c r="O115">
        <v>9.5652173913043494</v>
      </c>
      <c r="P115">
        <v>1.1415212368610899E-3</v>
      </c>
    </row>
    <row r="116" spans="1:16" x14ac:dyDescent="0.2">
      <c r="A116" t="s">
        <v>16</v>
      </c>
      <c r="B116" t="s">
        <v>24</v>
      </c>
      <c r="C116">
        <v>1</v>
      </c>
      <c r="D116">
        <v>50</v>
      </c>
      <c r="E116">
        <v>1</v>
      </c>
      <c r="F116">
        <v>50</v>
      </c>
      <c r="G116" t="s">
        <v>23</v>
      </c>
      <c r="H116" t="s">
        <v>19</v>
      </c>
      <c r="I116">
        <v>5.5</v>
      </c>
      <c r="J116">
        <v>5.5</v>
      </c>
      <c r="K116">
        <v>1.0402744475917099E-2</v>
      </c>
      <c r="L116">
        <v>1</v>
      </c>
      <c r="M116">
        <v>85.792000000000002</v>
      </c>
      <c r="N116">
        <v>11</v>
      </c>
      <c r="O116">
        <v>7.7992727272727302</v>
      </c>
      <c r="P116">
        <v>9.4570404326519005E-4</v>
      </c>
    </row>
    <row r="117" spans="1:16" x14ac:dyDescent="0.2">
      <c r="A117" t="s">
        <v>16</v>
      </c>
      <c r="B117" t="s">
        <v>24</v>
      </c>
      <c r="C117">
        <v>1</v>
      </c>
      <c r="D117">
        <v>50</v>
      </c>
      <c r="E117">
        <v>1</v>
      </c>
      <c r="F117">
        <v>50</v>
      </c>
      <c r="G117" t="s">
        <v>23</v>
      </c>
      <c r="H117" t="s">
        <v>22</v>
      </c>
      <c r="I117">
        <v>6.4</v>
      </c>
      <c r="J117">
        <v>5.94</v>
      </c>
      <c r="K117">
        <v>1.03648424543947E-2</v>
      </c>
      <c r="L117">
        <v>1</v>
      </c>
      <c r="M117">
        <v>84</v>
      </c>
      <c r="N117">
        <v>12.34</v>
      </c>
      <c r="O117">
        <v>6.8071312803889796</v>
      </c>
      <c r="P117">
        <v>8.3993861056683096E-4</v>
      </c>
    </row>
    <row r="118" spans="1:16" x14ac:dyDescent="0.2">
      <c r="A118" t="s">
        <v>16</v>
      </c>
      <c r="B118" t="s">
        <v>24</v>
      </c>
      <c r="C118">
        <v>2</v>
      </c>
      <c r="D118">
        <v>12</v>
      </c>
      <c r="E118">
        <v>2</v>
      </c>
      <c r="F118">
        <v>12</v>
      </c>
      <c r="G118" t="s">
        <v>18</v>
      </c>
      <c r="H118" t="s">
        <v>19</v>
      </c>
      <c r="I118">
        <v>2.68</v>
      </c>
      <c r="J118">
        <v>2.76</v>
      </c>
      <c r="K118">
        <v>1.1840212484698199E-2</v>
      </c>
      <c r="L118">
        <v>1</v>
      </c>
      <c r="M118">
        <v>55.468000000000004</v>
      </c>
      <c r="N118">
        <v>5.44</v>
      </c>
      <c r="O118">
        <v>10.196323529411799</v>
      </c>
      <c r="P118">
        <v>2.1765096479224701E-3</v>
      </c>
    </row>
    <row r="119" spans="1:16" x14ac:dyDescent="0.2">
      <c r="A119" t="s">
        <v>16</v>
      </c>
      <c r="B119" t="s">
        <v>24</v>
      </c>
      <c r="C119">
        <v>2</v>
      </c>
      <c r="D119">
        <v>12</v>
      </c>
      <c r="E119">
        <v>2</v>
      </c>
      <c r="F119">
        <v>12</v>
      </c>
      <c r="G119" t="s">
        <v>18</v>
      </c>
      <c r="H119" t="s">
        <v>22</v>
      </c>
      <c r="I119">
        <v>3.84</v>
      </c>
      <c r="J119">
        <v>3.84</v>
      </c>
      <c r="K119">
        <v>1.22669283611384E-2</v>
      </c>
      <c r="L119">
        <v>1</v>
      </c>
      <c r="M119">
        <v>36</v>
      </c>
      <c r="N119">
        <v>7.68</v>
      </c>
      <c r="O119">
        <v>4.6875</v>
      </c>
      <c r="P119">
        <v>1.59725629702323E-3</v>
      </c>
    </row>
    <row r="120" spans="1:16" x14ac:dyDescent="0.2">
      <c r="A120" t="s">
        <v>16</v>
      </c>
      <c r="B120" t="s">
        <v>24</v>
      </c>
      <c r="C120">
        <v>2</v>
      </c>
      <c r="D120">
        <v>12</v>
      </c>
      <c r="E120">
        <v>2</v>
      </c>
      <c r="F120">
        <v>12</v>
      </c>
      <c r="G120" t="s">
        <v>23</v>
      </c>
      <c r="H120" t="s">
        <v>19</v>
      </c>
      <c r="I120">
        <v>6</v>
      </c>
      <c r="J120">
        <v>6</v>
      </c>
      <c r="K120">
        <v>4.1667631243936399E-3</v>
      </c>
      <c r="L120">
        <v>0</v>
      </c>
      <c r="M120">
        <v>0</v>
      </c>
      <c r="N120">
        <v>12</v>
      </c>
      <c r="O120">
        <v>0</v>
      </c>
      <c r="P120">
        <v>3.4723026036613601E-4</v>
      </c>
    </row>
    <row r="121" spans="1:16" x14ac:dyDescent="0.2">
      <c r="A121" t="s">
        <v>16</v>
      </c>
      <c r="B121" t="s">
        <v>24</v>
      </c>
      <c r="C121">
        <v>2</v>
      </c>
      <c r="D121">
        <v>12</v>
      </c>
      <c r="E121">
        <v>2</v>
      </c>
      <c r="F121">
        <v>12</v>
      </c>
      <c r="G121" t="s">
        <v>23</v>
      </c>
      <c r="H121" t="s">
        <v>22</v>
      </c>
      <c r="I121">
        <v>6</v>
      </c>
      <c r="J121">
        <v>6</v>
      </c>
      <c r="K121">
        <v>3.0588523186100601E-3</v>
      </c>
      <c r="L121">
        <v>0</v>
      </c>
      <c r="M121">
        <v>0</v>
      </c>
      <c r="N121">
        <v>12</v>
      </c>
      <c r="O121">
        <v>0</v>
      </c>
      <c r="P121">
        <v>2.5490435988417099E-4</v>
      </c>
    </row>
    <row r="122" spans="1:16" x14ac:dyDescent="0.2">
      <c r="A122" t="s">
        <v>16</v>
      </c>
      <c r="B122" t="s">
        <v>24</v>
      </c>
      <c r="C122">
        <v>2</v>
      </c>
      <c r="D122">
        <v>25</v>
      </c>
      <c r="E122">
        <v>2</v>
      </c>
      <c r="F122">
        <v>25</v>
      </c>
      <c r="G122" t="s">
        <v>18</v>
      </c>
      <c r="H122" t="s">
        <v>19</v>
      </c>
      <c r="I122">
        <v>3.44</v>
      </c>
      <c r="J122">
        <v>3.34</v>
      </c>
      <c r="K122">
        <v>1.1116236027534599E-2</v>
      </c>
      <c r="L122">
        <v>1</v>
      </c>
      <c r="M122">
        <v>72.156000000000006</v>
      </c>
      <c r="N122">
        <v>6.78</v>
      </c>
      <c r="O122">
        <v>10.6424778761062</v>
      </c>
      <c r="P122">
        <v>1.6395628359195599E-3</v>
      </c>
    </row>
    <row r="123" spans="1:16" x14ac:dyDescent="0.2">
      <c r="A123" t="s">
        <v>16</v>
      </c>
      <c r="B123" t="s">
        <v>24</v>
      </c>
      <c r="C123">
        <v>2</v>
      </c>
      <c r="D123">
        <v>25</v>
      </c>
      <c r="E123">
        <v>2</v>
      </c>
      <c r="F123">
        <v>25</v>
      </c>
      <c r="G123" t="s">
        <v>18</v>
      </c>
      <c r="H123" t="s">
        <v>22</v>
      </c>
      <c r="I123">
        <v>4.3</v>
      </c>
      <c r="J123">
        <v>4.26</v>
      </c>
      <c r="K123">
        <v>1.11209964412811E-2</v>
      </c>
      <c r="L123">
        <v>1</v>
      </c>
      <c r="M123">
        <v>64</v>
      </c>
      <c r="N123">
        <v>8.56</v>
      </c>
      <c r="O123">
        <v>7.4766355140186898</v>
      </c>
      <c r="P123">
        <v>1.29918182725247E-3</v>
      </c>
    </row>
    <row r="124" spans="1:16" x14ac:dyDescent="0.2">
      <c r="A124" t="s">
        <v>16</v>
      </c>
      <c r="B124" t="s">
        <v>24</v>
      </c>
      <c r="C124">
        <v>2</v>
      </c>
      <c r="D124">
        <v>25</v>
      </c>
      <c r="E124">
        <v>2</v>
      </c>
      <c r="F124">
        <v>25</v>
      </c>
      <c r="G124" t="s">
        <v>23</v>
      </c>
      <c r="H124" t="s">
        <v>19</v>
      </c>
      <c r="I124">
        <v>10.92</v>
      </c>
      <c r="J124">
        <v>12.5</v>
      </c>
      <c r="K124">
        <v>8.7564254848914603E-3</v>
      </c>
      <c r="L124">
        <v>0.63</v>
      </c>
      <c r="M124">
        <v>11.6</v>
      </c>
      <c r="N124">
        <v>23.42</v>
      </c>
      <c r="O124">
        <v>0.49530315969256999</v>
      </c>
      <c r="P124">
        <v>3.7388665605855999E-4</v>
      </c>
    </row>
    <row r="125" spans="1:16" x14ac:dyDescent="0.2">
      <c r="A125" t="s">
        <v>16</v>
      </c>
      <c r="B125" t="s">
        <v>24</v>
      </c>
      <c r="C125">
        <v>2</v>
      </c>
      <c r="D125">
        <v>25</v>
      </c>
      <c r="E125">
        <v>2</v>
      </c>
      <c r="F125">
        <v>25</v>
      </c>
      <c r="G125" t="s">
        <v>23</v>
      </c>
      <c r="H125" t="s">
        <v>22</v>
      </c>
      <c r="I125">
        <v>12.5</v>
      </c>
      <c r="J125">
        <v>12.5</v>
      </c>
      <c r="K125">
        <v>3.3909799932180401E-3</v>
      </c>
      <c r="L125">
        <v>0</v>
      </c>
      <c r="M125">
        <v>0</v>
      </c>
      <c r="N125">
        <v>25</v>
      </c>
      <c r="O125">
        <v>0</v>
      </c>
      <c r="P125">
        <v>1.3563919972872201E-4</v>
      </c>
    </row>
    <row r="126" spans="1:16" x14ac:dyDescent="0.2">
      <c r="A126" t="s">
        <v>16</v>
      </c>
      <c r="B126" t="s">
        <v>24</v>
      </c>
      <c r="C126">
        <v>2</v>
      </c>
      <c r="D126">
        <v>37</v>
      </c>
      <c r="E126">
        <v>2</v>
      </c>
      <c r="F126">
        <v>37</v>
      </c>
      <c r="G126" t="s">
        <v>18</v>
      </c>
      <c r="H126" t="s">
        <v>19</v>
      </c>
      <c r="I126">
        <v>3.8</v>
      </c>
      <c r="J126">
        <v>3.86</v>
      </c>
      <c r="K126">
        <v>1.0876182115796801E-2</v>
      </c>
      <c r="L126">
        <v>1</v>
      </c>
      <c r="M126">
        <v>78.38</v>
      </c>
      <c r="N126">
        <v>7.66</v>
      </c>
      <c r="O126">
        <v>10.2323759791123</v>
      </c>
      <c r="P126">
        <v>1.4198671169447499E-3</v>
      </c>
    </row>
    <row r="127" spans="1:16" x14ac:dyDescent="0.2">
      <c r="A127" t="s">
        <v>16</v>
      </c>
      <c r="B127" t="s">
        <v>24</v>
      </c>
      <c r="C127">
        <v>2</v>
      </c>
      <c r="D127">
        <v>37</v>
      </c>
      <c r="E127">
        <v>2</v>
      </c>
      <c r="F127">
        <v>37</v>
      </c>
      <c r="G127" t="s">
        <v>18</v>
      </c>
      <c r="H127" t="s">
        <v>22</v>
      </c>
      <c r="I127">
        <v>4.4400000000000004</v>
      </c>
      <c r="J127">
        <v>4.38</v>
      </c>
      <c r="K127">
        <v>1.08908734480505E-2</v>
      </c>
      <c r="L127">
        <v>1</v>
      </c>
      <c r="M127">
        <v>74</v>
      </c>
      <c r="N127">
        <v>8.82</v>
      </c>
      <c r="O127">
        <v>8.3900226757369598</v>
      </c>
      <c r="P127">
        <v>1.23479290794224E-3</v>
      </c>
    </row>
    <row r="128" spans="1:16" x14ac:dyDescent="0.2">
      <c r="A128" t="s">
        <v>16</v>
      </c>
      <c r="B128" t="s">
        <v>24</v>
      </c>
      <c r="C128">
        <v>2</v>
      </c>
      <c r="D128">
        <v>37</v>
      </c>
      <c r="E128">
        <v>2</v>
      </c>
      <c r="F128">
        <v>37</v>
      </c>
      <c r="G128" t="s">
        <v>23</v>
      </c>
      <c r="H128" t="s">
        <v>19</v>
      </c>
      <c r="I128">
        <v>7.38</v>
      </c>
      <c r="J128">
        <v>6.46</v>
      </c>
      <c r="K128">
        <v>1.0347799446223899E-2</v>
      </c>
      <c r="L128">
        <v>1</v>
      </c>
      <c r="M128">
        <v>57.911999999999999</v>
      </c>
      <c r="N128">
        <v>13.84</v>
      </c>
      <c r="O128">
        <v>4.1843930635838102</v>
      </c>
      <c r="P128">
        <v>7.4767337039190304E-4</v>
      </c>
    </row>
    <row r="129" spans="1:16" x14ac:dyDescent="0.2">
      <c r="A129" t="s">
        <v>16</v>
      </c>
      <c r="B129" t="s">
        <v>24</v>
      </c>
      <c r="C129">
        <v>2</v>
      </c>
      <c r="D129">
        <v>37</v>
      </c>
      <c r="E129">
        <v>2</v>
      </c>
      <c r="F129">
        <v>37</v>
      </c>
      <c r="G129" t="s">
        <v>23</v>
      </c>
      <c r="H129" t="s">
        <v>22</v>
      </c>
      <c r="I129">
        <v>18.5</v>
      </c>
      <c r="J129">
        <v>18.5</v>
      </c>
      <c r="K129">
        <v>4.3725404459991303E-3</v>
      </c>
      <c r="L129">
        <v>0</v>
      </c>
      <c r="M129">
        <v>0</v>
      </c>
      <c r="N129">
        <v>37</v>
      </c>
      <c r="O129">
        <v>0</v>
      </c>
      <c r="P129">
        <v>1.1817676881078699E-4</v>
      </c>
    </row>
    <row r="130" spans="1:16" x14ac:dyDescent="0.2">
      <c r="A130" t="s">
        <v>16</v>
      </c>
      <c r="B130" t="s">
        <v>24</v>
      </c>
      <c r="C130">
        <v>2</v>
      </c>
      <c r="D130">
        <v>50</v>
      </c>
      <c r="E130">
        <v>2</v>
      </c>
      <c r="F130">
        <v>50</v>
      </c>
      <c r="G130" t="s">
        <v>18</v>
      </c>
      <c r="H130" t="s">
        <v>19</v>
      </c>
      <c r="I130">
        <v>4.04</v>
      </c>
      <c r="J130">
        <v>4.1399999999999997</v>
      </c>
      <c r="K130">
        <v>1.07271636185943E-2</v>
      </c>
      <c r="L130">
        <v>1</v>
      </c>
      <c r="M130">
        <v>82.36</v>
      </c>
      <c r="N130">
        <v>8.18</v>
      </c>
      <c r="O130">
        <v>10.0684596577017</v>
      </c>
      <c r="P130">
        <v>1.3113891954271799E-3</v>
      </c>
    </row>
    <row r="131" spans="1:16" x14ac:dyDescent="0.2">
      <c r="A131" t="s">
        <v>16</v>
      </c>
      <c r="B131" t="s">
        <v>24</v>
      </c>
      <c r="C131">
        <v>2</v>
      </c>
      <c r="D131">
        <v>50</v>
      </c>
      <c r="E131">
        <v>2</v>
      </c>
      <c r="F131">
        <v>50</v>
      </c>
      <c r="G131" t="s">
        <v>18</v>
      </c>
      <c r="H131" t="s">
        <v>22</v>
      </c>
      <c r="I131">
        <v>4.58</v>
      </c>
      <c r="J131">
        <v>4.5</v>
      </c>
      <c r="K131">
        <v>1.0789814415192099E-2</v>
      </c>
      <c r="L131">
        <v>1</v>
      </c>
      <c r="M131">
        <v>78</v>
      </c>
      <c r="N131">
        <v>9.08</v>
      </c>
      <c r="O131">
        <v>8.5903083700440508</v>
      </c>
      <c r="P131">
        <v>1.1883055523339301E-3</v>
      </c>
    </row>
    <row r="132" spans="1:16" x14ac:dyDescent="0.2">
      <c r="A132" t="s">
        <v>16</v>
      </c>
      <c r="B132" t="s">
        <v>24</v>
      </c>
      <c r="C132">
        <v>2</v>
      </c>
      <c r="D132">
        <v>50</v>
      </c>
      <c r="E132">
        <v>2</v>
      </c>
      <c r="F132">
        <v>50</v>
      </c>
      <c r="G132" t="s">
        <v>23</v>
      </c>
      <c r="H132" t="s">
        <v>19</v>
      </c>
      <c r="I132">
        <v>6.36</v>
      </c>
      <c r="J132">
        <v>5.62</v>
      </c>
      <c r="K132">
        <v>1.05339751167292E-2</v>
      </c>
      <c r="L132">
        <v>1</v>
      </c>
      <c r="M132">
        <v>72.408000000000001</v>
      </c>
      <c r="N132">
        <v>11.98</v>
      </c>
      <c r="O132">
        <v>6.0440734557595999</v>
      </c>
      <c r="P132">
        <v>8.7929675431796595E-4</v>
      </c>
    </row>
    <row r="133" spans="1:16" x14ac:dyDescent="0.2">
      <c r="A133" t="s">
        <v>16</v>
      </c>
      <c r="B133" t="s">
        <v>24</v>
      </c>
      <c r="C133">
        <v>2</v>
      </c>
      <c r="D133">
        <v>50</v>
      </c>
      <c r="E133">
        <v>2</v>
      </c>
      <c r="F133">
        <v>50</v>
      </c>
      <c r="G133" t="s">
        <v>23</v>
      </c>
      <c r="H133" t="s">
        <v>22</v>
      </c>
      <c r="I133">
        <v>10.26</v>
      </c>
      <c r="J133">
        <v>9.84</v>
      </c>
      <c r="K133">
        <v>9.9681020733652301E-3</v>
      </c>
      <c r="L133">
        <v>1</v>
      </c>
      <c r="M133">
        <v>58</v>
      </c>
      <c r="N133">
        <v>20.100000000000001</v>
      </c>
      <c r="O133">
        <v>2.8855721393034801</v>
      </c>
      <c r="P133">
        <v>4.9592547628682696E-4</v>
      </c>
    </row>
    <row r="134" spans="1:16" x14ac:dyDescent="0.2">
      <c r="A134" t="s">
        <v>16</v>
      </c>
      <c r="B134" t="s">
        <v>24</v>
      </c>
      <c r="C134">
        <v>5</v>
      </c>
      <c r="D134">
        <v>12</v>
      </c>
      <c r="E134">
        <v>5</v>
      </c>
      <c r="F134">
        <v>12</v>
      </c>
      <c r="G134" t="s">
        <v>18</v>
      </c>
      <c r="H134" t="s">
        <v>19</v>
      </c>
      <c r="I134">
        <v>1.78</v>
      </c>
      <c r="J134">
        <v>1.92</v>
      </c>
      <c r="K134">
        <v>1.34554646303989E-2</v>
      </c>
      <c r="L134">
        <v>1</v>
      </c>
      <c r="M134">
        <v>29.571999999999999</v>
      </c>
      <c r="N134">
        <v>3.7</v>
      </c>
      <c r="O134">
        <v>7.9924324324324303</v>
      </c>
      <c r="P134">
        <v>3.63661206226998E-3</v>
      </c>
    </row>
    <row r="135" spans="1:16" x14ac:dyDescent="0.2">
      <c r="A135" t="s">
        <v>16</v>
      </c>
      <c r="B135" t="s">
        <v>24</v>
      </c>
      <c r="C135">
        <v>5</v>
      </c>
      <c r="D135">
        <v>12</v>
      </c>
      <c r="E135">
        <v>5</v>
      </c>
      <c r="F135">
        <v>12</v>
      </c>
      <c r="G135" t="s">
        <v>18</v>
      </c>
      <c r="H135" t="s">
        <v>22</v>
      </c>
      <c r="I135">
        <v>2.4</v>
      </c>
      <c r="J135">
        <v>2.4</v>
      </c>
      <c r="K135">
        <v>1.48676776687481E-2</v>
      </c>
      <c r="L135">
        <v>0</v>
      </c>
      <c r="M135">
        <v>0</v>
      </c>
      <c r="N135">
        <v>4.8</v>
      </c>
      <c r="O135">
        <v>0</v>
      </c>
      <c r="P135">
        <v>3.0974328476558598E-3</v>
      </c>
    </row>
    <row r="136" spans="1:16" x14ac:dyDescent="0.2">
      <c r="A136" t="s">
        <v>16</v>
      </c>
      <c r="B136" t="s">
        <v>24</v>
      </c>
      <c r="C136">
        <v>5</v>
      </c>
      <c r="D136">
        <v>12</v>
      </c>
      <c r="E136">
        <v>5</v>
      </c>
      <c r="F136">
        <v>12</v>
      </c>
      <c r="G136" t="s">
        <v>23</v>
      </c>
      <c r="H136" t="s">
        <v>19</v>
      </c>
      <c r="I136">
        <v>2.4</v>
      </c>
      <c r="J136">
        <v>2.4</v>
      </c>
      <c r="K136">
        <v>3.7402455252234499E-3</v>
      </c>
      <c r="L136">
        <v>0</v>
      </c>
      <c r="M136">
        <v>0</v>
      </c>
      <c r="N136">
        <v>4.8</v>
      </c>
      <c r="O136">
        <v>0</v>
      </c>
      <c r="P136">
        <v>7.7921781775488596E-4</v>
      </c>
    </row>
    <row r="137" spans="1:16" x14ac:dyDescent="0.2">
      <c r="A137" t="s">
        <v>16</v>
      </c>
      <c r="B137" t="s">
        <v>24</v>
      </c>
      <c r="C137">
        <v>5</v>
      </c>
      <c r="D137">
        <v>12</v>
      </c>
      <c r="E137">
        <v>5</v>
      </c>
      <c r="F137">
        <v>12</v>
      </c>
      <c r="G137" t="s">
        <v>23</v>
      </c>
      <c r="H137" t="s">
        <v>22</v>
      </c>
      <c r="I137">
        <v>2.4</v>
      </c>
      <c r="J137">
        <v>2.4</v>
      </c>
      <c r="K137">
        <v>2.9545588843585698E-3</v>
      </c>
      <c r="L137">
        <v>0</v>
      </c>
      <c r="M137">
        <v>0</v>
      </c>
      <c r="N137">
        <v>4.8</v>
      </c>
      <c r="O137">
        <v>0</v>
      </c>
      <c r="P137">
        <v>6.1553310090803402E-4</v>
      </c>
    </row>
    <row r="138" spans="1:16" x14ac:dyDescent="0.2">
      <c r="A138" t="s">
        <v>16</v>
      </c>
      <c r="B138" t="s">
        <v>24</v>
      </c>
      <c r="C138">
        <v>5</v>
      </c>
      <c r="D138">
        <v>25</v>
      </c>
      <c r="E138">
        <v>5</v>
      </c>
      <c r="F138">
        <v>25</v>
      </c>
      <c r="G138" t="s">
        <v>18</v>
      </c>
      <c r="H138" t="s">
        <v>19</v>
      </c>
      <c r="I138">
        <v>2.6</v>
      </c>
      <c r="J138">
        <v>2.5</v>
      </c>
      <c r="K138">
        <v>1.2218226302943501E-2</v>
      </c>
      <c r="L138">
        <v>1</v>
      </c>
      <c r="M138">
        <v>50.1</v>
      </c>
      <c r="N138">
        <v>5.0999999999999996</v>
      </c>
      <c r="O138">
        <v>9.8235294117647101</v>
      </c>
      <c r="P138">
        <v>2.39573064763597E-3</v>
      </c>
    </row>
    <row r="139" spans="1:16" x14ac:dyDescent="0.2">
      <c r="A139" t="s">
        <v>16</v>
      </c>
      <c r="B139" t="s">
        <v>24</v>
      </c>
      <c r="C139">
        <v>5</v>
      </c>
      <c r="D139">
        <v>25</v>
      </c>
      <c r="E139">
        <v>5</v>
      </c>
      <c r="F139">
        <v>25</v>
      </c>
      <c r="G139" t="s">
        <v>18</v>
      </c>
      <c r="H139" t="s">
        <v>22</v>
      </c>
      <c r="I139">
        <v>3.8</v>
      </c>
      <c r="J139">
        <v>3.8</v>
      </c>
      <c r="K139">
        <v>1.29802699896158E-2</v>
      </c>
      <c r="L139">
        <v>1</v>
      </c>
      <c r="M139">
        <v>26</v>
      </c>
      <c r="N139">
        <v>7.6</v>
      </c>
      <c r="O139">
        <v>3.42105263157895</v>
      </c>
      <c r="P139">
        <v>1.7079302617915501E-3</v>
      </c>
    </row>
    <row r="140" spans="1:16" x14ac:dyDescent="0.2">
      <c r="A140" t="s">
        <v>16</v>
      </c>
      <c r="B140" t="s">
        <v>24</v>
      </c>
      <c r="C140">
        <v>5</v>
      </c>
      <c r="D140">
        <v>25</v>
      </c>
      <c r="E140">
        <v>5</v>
      </c>
      <c r="F140">
        <v>25</v>
      </c>
      <c r="G140" t="s">
        <v>23</v>
      </c>
      <c r="H140" t="s">
        <v>19</v>
      </c>
      <c r="I140">
        <v>5</v>
      </c>
      <c r="J140">
        <v>5</v>
      </c>
      <c r="K140">
        <v>4.0756312878750698E-3</v>
      </c>
      <c r="L140">
        <v>0</v>
      </c>
      <c r="M140">
        <v>0</v>
      </c>
      <c r="N140">
        <v>10</v>
      </c>
      <c r="O140">
        <v>0</v>
      </c>
      <c r="P140">
        <v>4.0756312878750703E-4</v>
      </c>
    </row>
    <row r="141" spans="1:16" x14ac:dyDescent="0.2">
      <c r="A141" t="s">
        <v>16</v>
      </c>
      <c r="B141" t="s">
        <v>24</v>
      </c>
      <c r="C141">
        <v>5</v>
      </c>
      <c r="D141">
        <v>25</v>
      </c>
      <c r="E141">
        <v>5</v>
      </c>
      <c r="F141">
        <v>25</v>
      </c>
      <c r="G141" t="s">
        <v>23</v>
      </c>
      <c r="H141" t="s">
        <v>22</v>
      </c>
      <c r="I141">
        <v>5</v>
      </c>
      <c r="J141">
        <v>5</v>
      </c>
      <c r="K141">
        <v>3.0517578125E-3</v>
      </c>
      <c r="L141">
        <v>0</v>
      </c>
      <c r="M141">
        <v>0</v>
      </c>
      <c r="N141">
        <v>10</v>
      </c>
      <c r="O141">
        <v>0</v>
      </c>
      <c r="P141">
        <v>3.0517578125E-4</v>
      </c>
    </row>
    <row r="142" spans="1:16" x14ac:dyDescent="0.2">
      <c r="A142" t="s">
        <v>16</v>
      </c>
      <c r="B142" t="s">
        <v>24</v>
      </c>
      <c r="C142">
        <v>5</v>
      </c>
      <c r="D142">
        <v>37</v>
      </c>
      <c r="E142">
        <v>5</v>
      </c>
      <c r="F142">
        <v>37</v>
      </c>
      <c r="G142" t="s">
        <v>18</v>
      </c>
      <c r="H142" t="s">
        <v>19</v>
      </c>
      <c r="I142">
        <v>3.06</v>
      </c>
      <c r="J142">
        <v>3</v>
      </c>
      <c r="K142">
        <v>1.1659756567214E-2</v>
      </c>
      <c r="L142">
        <v>1</v>
      </c>
      <c r="M142">
        <v>59.723999999999997</v>
      </c>
      <c r="N142">
        <v>6.06</v>
      </c>
      <c r="O142">
        <v>9.8554455445544509</v>
      </c>
      <c r="P142">
        <v>1.9240522388142001E-3</v>
      </c>
    </row>
    <row r="143" spans="1:16" x14ac:dyDescent="0.2">
      <c r="A143" t="s">
        <v>16</v>
      </c>
      <c r="B143" t="s">
        <v>24</v>
      </c>
      <c r="C143">
        <v>5</v>
      </c>
      <c r="D143">
        <v>37</v>
      </c>
      <c r="E143">
        <v>5</v>
      </c>
      <c r="F143">
        <v>37</v>
      </c>
      <c r="G143" t="s">
        <v>18</v>
      </c>
      <c r="H143" t="s">
        <v>22</v>
      </c>
      <c r="I143">
        <v>4.16</v>
      </c>
      <c r="J143">
        <v>4.16</v>
      </c>
      <c r="K143">
        <v>1.2091898428053201E-2</v>
      </c>
      <c r="L143">
        <v>1</v>
      </c>
      <c r="M143">
        <v>44</v>
      </c>
      <c r="N143">
        <v>8.32</v>
      </c>
      <c r="O143">
        <v>5.2884615384615401</v>
      </c>
      <c r="P143">
        <v>1.4533531764486999E-3</v>
      </c>
    </row>
    <row r="144" spans="1:16" x14ac:dyDescent="0.2">
      <c r="A144" t="s">
        <v>16</v>
      </c>
      <c r="B144" t="s">
        <v>24</v>
      </c>
      <c r="C144">
        <v>5</v>
      </c>
      <c r="D144">
        <v>37</v>
      </c>
      <c r="E144">
        <v>5</v>
      </c>
      <c r="F144">
        <v>37</v>
      </c>
      <c r="G144" t="s">
        <v>23</v>
      </c>
      <c r="H144" t="s">
        <v>19</v>
      </c>
      <c r="I144">
        <v>7.4</v>
      </c>
      <c r="J144">
        <v>7.4</v>
      </c>
      <c r="K144">
        <v>4.6022199795990601E-3</v>
      </c>
      <c r="L144">
        <v>0</v>
      </c>
      <c r="M144">
        <v>0</v>
      </c>
      <c r="N144">
        <v>14.8</v>
      </c>
      <c r="O144">
        <v>0</v>
      </c>
      <c r="P144">
        <v>3.10960809432369E-4</v>
      </c>
    </row>
    <row r="145" spans="1:16" x14ac:dyDescent="0.2">
      <c r="A145" t="s">
        <v>16</v>
      </c>
      <c r="B145" t="s">
        <v>24</v>
      </c>
      <c r="C145">
        <v>5</v>
      </c>
      <c r="D145">
        <v>37</v>
      </c>
      <c r="E145">
        <v>5</v>
      </c>
      <c r="F145">
        <v>37</v>
      </c>
      <c r="G145" t="s">
        <v>23</v>
      </c>
      <c r="H145" t="s">
        <v>22</v>
      </c>
      <c r="I145">
        <v>7.4</v>
      </c>
      <c r="J145">
        <v>7.4</v>
      </c>
      <c r="K145">
        <v>3.16055625790139E-3</v>
      </c>
      <c r="L145">
        <v>0</v>
      </c>
      <c r="M145">
        <v>0</v>
      </c>
      <c r="N145">
        <v>14.8</v>
      </c>
      <c r="O145">
        <v>0</v>
      </c>
      <c r="P145">
        <v>2.1355109850685101E-4</v>
      </c>
    </row>
    <row r="146" spans="1:16" x14ac:dyDescent="0.2">
      <c r="A146" t="s">
        <v>16</v>
      </c>
      <c r="B146" t="s">
        <v>24</v>
      </c>
      <c r="C146">
        <v>5</v>
      </c>
      <c r="D146">
        <v>50</v>
      </c>
      <c r="E146">
        <v>5</v>
      </c>
      <c r="F146">
        <v>50</v>
      </c>
      <c r="G146" t="s">
        <v>18</v>
      </c>
      <c r="H146" t="s">
        <v>19</v>
      </c>
      <c r="I146">
        <v>3.4</v>
      </c>
      <c r="J146">
        <v>3.4</v>
      </c>
      <c r="K146">
        <v>1.15045298001535E-2</v>
      </c>
      <c r="L146">
        <v>1</v>
      </c>
      <c r="M146">
        <v>66.772000000000006</v>
      </c>
      <c r="N146">
        <v>6.8</v>
      </c>
      <c r="O146">
        <v>9.8194117647058796</v>
      </c>
      <c r="P146">
        <v>1.6918426176696299E-3</v>
      </c>
    </row>
    <row r="147" spans="1:16" x14ac:dyDescent="0.2">
      <c r="A147" t="s">
        <v>16</v>
      </c>
      <c r="B147" t="s">
        <v>24</v>
      </c>
      <c r="C147">
        <v>5</v>
      </c>
      <c r="D147">
        <v>50</v>
      </c>
      <c r="E147">
        <v>5</v>
      </c>
      <c r="F147">
        <v>50</v>
      </c>
      <c r="G147" t="s">
        <v>18</v>
      </c>
      <c r="H147" t="s">
        <v>22</v>
      </c>
      <c r="I147">
        <v>4.32</v>
      </c>
      <c r="J147">
        <v>4.32</v>
      </c>
      <c r="K147">
        <v>1.1668611435239199E-2</v>
      </c>
      <c r="L147">
        <v>1</v>
      </c>
      <c r="M147">
        <v>56</v>
      </c>
      <c r="N147">
        <v>8.64</v>
      </c>
      <c r="O147">
        <v>6.4814814814814801</v>
      </c>
      <c r="P147">
        <v>1.3505337309304599E-3</v>
      </c>
    </row>
    <row r="148" spans="1:16" x14ac:dyDescent="0.2">
      <c r="A148" t="s">
        <v>16</v>
      </c>
      <c r="B148" t="s">
        <v>24</v>
      </c>
      <c r="C148">
        <v>5</v>
      </c>
      <c r="D148">
        <v>50</v>
      </c>
      <c r="E148">
        <v>5</v>
      </c>
      <c r="F148">
        <v>50</v>
      </c>
      <c r="G148" t="s">
        <v>23</v>
      </c>
      <c r="H148" t="s">
        <v>19</v>
      </c>
      <c r="I148">
        <v>9.94</v>
      </c>
      <c r="J148">
        <v>10</v>
      </c>
      <c r="K148">
        <v>6.6578265414845702E-3</v>
      </c>
      <c r="L148">
        <v>0.03</v>
      </c>
      <c r="M148">
        <v>0.32800000000000001</v>
      </c>
      <c r="N148">
        <v>19.940000000000001</v>
      </c>
      <c r="O148">
        <v>1.6449348044132402E-2</v>
      </c>
      <c r="P148">
        <v>3.3389300609250599E-4</v>
      </c>
    </row>
    <row r="149" spans="1:16" x14ac:dyDescent="0.2">
      <c r="A149" t="s">
        <v>16</v>
      </c>
      <c r="B149" t="s">
        <v>24</v>
      </c>
      <c r="C149">
        <v>5</v>
      </c>
      <c r="D149">
        <v>50</v>
      </c>
      <c r="E149">
        <v>5</v>
      </c>
      <c r="F149">
        <v>50</v>
      </c>
      <c r="G149" t="s">
        <v>23</v>
      </c>
      <c r="H149" t="s">
        <v>22</v>
      </c>
      <c r="I149">
        <v>10</v>
      </c>
      <c r="J149">
        <v>10</v>
      </c>
      <c r="K149">
        <v>3.3322225924691802E-3</v>
      </c>
      <c r="L149">
        <v>0</v>
      </c>
      <c r="M149">
        <v>0</v>
      </c>
      <c r="N149">
        <v>20</v>
      </c>
      <c r="O149">
        <v>0</v>
      </c>
      <c r="P149">
        <v>1.6661112962345899E-4</v>
      </c>
    </row>
    <row r="150" spans="1:16" x14ac:dyDescent="0.2">
      <c r="A150" t="s">
        <v>16</v>
      </c>
      <c r="B150" t="s">
        <v>25</v>
      </c>
      <c r="C150">
        <v>1</v>
      </c>
      <c r="D150">
        <v>25</v>
      </c>
      <c r="E150">
        <v>0</v>
      </c>
      <c r="F150">
        <v>0</v>
      </c>
      <c r="G150" t="s">
        <v>18</v>
      </c>
      <c r="H150" t="s">
        <v>19</v>
      </c>
      <c r="I150">
        <v>4.5199999999999996</v>
      </c>
      <c r="J150">
        <v>0</v>
      </c>
      <c r="K150">
        <v>1.07594387486645E-2</v>
      </c>
      <c r="L150">
        <v>1</v>
      </c>
      <c r="M150">
        <v>80.932000000000002</v>
      </c>
      <c r="N150">
        <v>4.5199999999999996</v>
      </c>
      <c r="O150">
        <v>17.905309734513299</v>
      </c>
      <c r="P150">
        <v>2.38040680280187E-3</v>
      </c>
    </row>
    <row r="151" spans="1:16" x14ac:dyDescent="0.2">
      <c r="A151" t="s">
        <v>16</v>
      </c>
      <c r="B151" t="s">
        <v>25</v>
      </c>
      <c r="C151">
        <v>1</v>
      </c>
      <c r="D151">
        <v>25</v>
      </c>
      <c r="E151">
        <v>0</v>
      </c>
      <c r="F151">
        <v>0</v>
      </c>
      <c r="G151" t="s">
        <v>18</v>
      </c>
      <c r="H151" t="s">
        <v>22</v>
      </c>
      <c r="I151">
        <v>5.38</v>
      </c>
      <c r="J151">
        <v>0</v>
      </c>
      <c r="K151">
        <v>1.0768899418479401E-2</v>
      </c>
      <c r="L151">
        <v>1</v>
      </c>
      <c r="M151">
        <v>78</v>
      </c>
      <c r="N151">
        <v>5.38</v>
      </c>
      <c r="O151">
        <v>14.4981412639405</v>
      </c>
      <c r="P151">
        <v>2.00165416700361E-3</v>
      </c>
    </row>
    <row r="152" spans="1:16" x14ac:dyDescent="0.2">
      <c r="A152" t="s">
        <v>16</v>
      </c>
      <c r="B152" t="s">
        <v>25</v>
      </c>
      <c r="C152">
        <v>1</v>
      </c>
      <c r="D152">
        <v>25</v>
      </c>
      <c r="E152">
        <v>0</v>
      </c>
      <c r="F152">
        <v>0</v>
      </c>
      <c r="G152" t="s">
        <v>23</v>
      </c>
      <c r="H152" t="s">
        <v>19</v>
      </c>
      <c r="I152">
        <v>9.64</v>
      </c>
      <c r="J152">
        <v>0</v>
      </c>
      <c r="K152">
        <v>1.02117303428705E-2</v>
      </c>
      <c r="L152">
        <v>1</v>
      </c>
      <c r="M152">
        <v>60.631999999999998</v>
      </c>
      <c r="N152">
        <v>9.64</v>
      </c>
      <c r="O152">
        <v>6.2896265560166</v>
      </c>
      <c r="P152">
        <v>1.05930812685378E-3</v>
      </c>
    </row>
    <row r="153" spans="1:16" x14ac:dyDescent="0.2">
      <c r="A153" t="s">
        <v>16</v>
      </c>
      <c r="B153" t="s">
        <v>25</v>
      </c>
      <c r="C153">
        <v>1</v>
      </c>
      <c r="D153">
        <v>25</v>
      </c>
      <c r="E153">
        <v>0</v>
      </c>
      <c r="F153">
        <v>0</v>
      </c>
      <c r="G153" t="s">
        <v>23</v>
      </c>
      <c r="H153" t="s">
        <v>22</v>
      </c>
      <c r="I153">
        <v>24.5</v>
      </c>
      <c r="J153">
        <v>0</v>
      </c>
      <c r="K153">
        <v>4.6785814541031199E-3</v>
      </c>
      <c r="L153">
        <v>0</v>
      </c>
      <c r="M153">
        <v>0</v>
      </c>
      <c r="N153">
        <v>24.5</v>
      </c>
      <c r="O153">
        <v>0</v>
      </c>
      <c r="P153">
        <v>1.90962508330739E-4</v>
      </c>
    </row>
    <row r="154" spans="1:16" x14ac:dyDescent="0.2">
      <c r="A154" t="s">
        <v>16</v>
      </c>
      <c r="B154" t="s">
        <v>25</v>
      </c>
      <c r="C154">
        <v>1</v>
      </c>
      <c r="D154">
        <v>50</v>
      </c>
      <c r="E154">
        <v>0</v>
      </c>
      <c r="F154">
        <v>0</v>
      </c>
      <c r="G154" t="s">
        <v>18</v>
      </c>
      <c r="H154" t="s">
        <v>19</v>
      </c>
      <c r="I154">
        <v>5.0199999999999996</v>
      </c>
      <c r="J154">
        <v>0</v>
      </c>
      <c r="K154">
        <v>1.0537580295500301E-2</v>
      </c>
      <c r="L154">
        <v>1</v>
      </c>
      <c r="M154">
        <v>88.951999999999998</v>
      </c>
      <c r="N154">
        <v>5.0199999999999996</v>
      </c>
      <c r="O154">
        <v>17.719521912350601</v>
      </c>
      <c r="P154">
        <v>2.09911958077694E-3</v>
      </c>
    </row>
    <row r="155" spans="1:16" x14ac:dyDescent="0.2">
      <c r="A155" t="s">
        <v>16</v>
      </c>
      <c r="B155" t="s">
        <v>25</v>
      </c>
      <c r="C155">
        <v>1</v>
      </c>
      <c r="D155">
        <v>50</v>
      </c>
      <c r="E155">
        <v>0</v>
      </c>
      <c r="F155">
        <v>0</v>
      </c>
      <c r="G155" t="s">
        <v>18</v>
      </c>
      <c r="H155" t="s">
        <v>22</v>
      </c>
      <c r="I155">
        <v>5.6</v>
      </c>
      <c r="J155">
        <v>0</v>
      </c>
      <c r="K155">
        <v>1.05196717862403E-2</v>
      </c>
      <c r="L155">
        <v>1</v>
      </c>
      <c r="M155">
        <v>88</v>
      </c>
      <c r="N155">
        <v>5.6</v>
      </c>
      <c r="O155">
        <v>15.714285714285699</v>
      </c>
      <c r="P155">
        <v>1.87851281897148E-3</v>
      </c>
    </row>
    <row r="156" spans="1:16" x14ac:dyDescent="0.2">
      <c r="A156" t="s">
        <v>16</v>
      </c>
      <c r="B156" t="s">
        <v>25</v>
      </c>
      <c r="C156">
        <v>1</v>
      </c>
      <c r="D156">
        <v>50</v>
      </c>
      <c r="E156">
        <v>0</v>
      </c>
      <c r="F156">
        <v>0</v>
      </c>
      <c r="G156" t="s">
        <v>23</v>
      </c>
      <c r="H156" t="s">
        <v>19</v>
      </c>
      <c r="I156">
        <v>7.42</v>
      </c>
      <c r="J156">
        <v>0</v>
      </c>
      <c r="K156">
        <v>1.04127186879123E-2</v>
      </c>
      <c r="L156">
        <v>1</v>
      </c>
      <c r="M156">
        <v>84.176000000000002</v>
      </c>
      <c r="N156">
        <v>7.42</v>
      </c>
      <c r="O156">
        <v>11.344474393531</v>
      </c>
      <c r="P156">
        <v>1.4033313595569099E-3</v>
      </c>
    </row>
    <row r="157" spans="1:16" x14ac:dyDescent="0.2">
      <c r="A157" t="s">
        <v>16</v>
      </c>
      <c r="B157" t="s">
        <v>25</v>
      </c>
      <c r="C157">
        <v>1</v>
      </c>
      <c r="D157">
        <v>50</v>
      </c>
      <c r="E157">
        <v>0</v>
      </c>
      <c r="F157">
        <v>0</v>
      </c>
      <c r="G157" t="s">
        <v>23</v>
      </c>
      <c r="H157" t="s">
        <v>22</v>
      </c>
      <c r="I157">
        <v>9.44</v>
      </c>
      <c r="J157">
        <v>0</v>
      </c>
      <c r="K157">
        <v>1.0302905419328301E-2</v>
      </c>
      <c r="L157">
        <v>1</v>
      </c>
      <c r="M157">
        <v>80</v>
      </c>
      <c r="N157">
        <v>9.44</v>
      </c>
      <c r="O157">
        <v>8.4745762711864394</v>
      </c>
      <c r="P157">
        <v>1.09140947238647E-3</v>
      </c>
    </row>
    <row r="158" spans="1:16" x14ac:dyDescent="0.2">
      <c r="A158" t="s">
        <v>16</v>
      </c>
      <c r="B158" t="s">
        <v>25</v>
      </c>
      <c r="C158">
        <v>1</v>
      </c>
      <c r="D158">
        <v>75</v>
      </c>
      <c r="E158">
        <v>0</v>
      </c>
      <c r="F158">
        <v>0</v>
      </c>
      <c r="G158" t="s">
        <v>18</v>
      </c>
      <c r="H158" t="s">
        <v>19</v>
      </c>
      <c r="I158">
        <v>5.22</v>
      </c>
      <c r="J158">
        <v>0</v>
      </c>
      <c r="K158">
        <v>1.0466408999422401E-2</v>
      </c>
      <c r="L158">
        <v>1</v>
      </c>
      <c r="M158">
        <v>92</v>
      </c>
      <c r="N158">
        <v>5.22</v>
      </c>
      <c r="O158">
        <v>17.624521072796899</v>
      </c>
      <c r="P158">
        <v>2.0050591952916401E-3</v>
      </c>
    </row>
    <row r="159" spans="1:16" x14ac:dyDescent="0.2">
      <c r="A159" t="s">
        <v>16</v>
      </c>
      <c r="B159" t="s">
        <v>25</v>
      </c>
      <c r="C159">
        <v>1</v>
      </c>
      <c r="D159">
        <v>75</v>
      </c>
      <c r="E159">
        <v>0</v>
      </c>
      <c r="F159">
        <v>0</v>
      </c>
      <c r="G159" t="s">
        <v>18</v>
      </c>
      <c r="H159" t="s">
        <v>22</v>
      </c>
      <c r="I159">
        <v>5.74</v>
      </c>
      <c r="J159">
        <v>0</v>
      </c>
      <c r="K159">
        <v>1.04384133611691E-2</v>
      </c>
      <c r="L159">
        <v>1</v>
      </c>
      <c r="M159">
        <v>92</v>
      </c>
      <c r="N159">
        <v>5.74</v>
      </c>
      <c r="O159">
        <v>16.0278745644599</v>
      </c>
      <c r="P159">
        <v>1.81853891309566E-3</v>
      </c>
    </row>
    <row r="160" spans="1:16" x14ac:dyDescent="0.2">
      <c r="A160" t="s">
        <v>16</v>
      </c>
      <c r="B160" t="s">
        <v>25</v>
      </c>
      <c r="C160">
        <v>1</v>
      </c>
      <c r="D160">
        <v>75</v>
      </c>
      <c r="E160">
        <v>0</v>
      </c>
      <c r="F160">
        <v>0</v>
      </c>
      <c r="G160" t="s">
        <v>23</v>
      </c>
      <c r="H160" t="s">
        <v>19</v>
      </c>
      <c r="I160">
        <v>7.06</v>
      </c>
      <c r="J160">
        <v>0</v>
      </c>
      <c r="K160">
        <v>1.0399931310179401E-2</v>
      </c>
      <c r="L160">
        <v>1</v>
      </c>
      <c r="M160">
        <v>89.74</v>
      </c>
      <c r="N160">
        <v>7.06</v>
      </c>
      <c r="O160">
        <v>12.7110481586402</v>
      </c>
      <c r="P160">
        <v>1.47307808926054E-3</v>
      </c>
    </row>
    <row r="161" spans="1:16" x14ac:dyDescent="0.2">
      <c r="A161" t="s">
        <v>16</v>
      </c>
      <c r="B161" t="s">
        <v>25</v>
      </c>
      <c r="C161">
        <v>1</v>
      </c>
      <c r="D161">
        <v>75</v>
      </c>
      <c r="E161">
        <v>0</v>
      </c>
      <c r="F161">
        <v>0</v>
      </c>
      <c r="G161" t="s">
        <v>23</v>
      </c>
      <c r="H161" t="s">
        <v>22</v>
      </c>
      <c r="I161">
        <v>8.06</v>
      </c>
      <c r="J161">
        <v>0</v>
      </c>
      <c r="K161">
        <v>1.0395010395010401E-2</v>
      </c>
      <c r="L161">
        <v>1</v>
      </c>
      <c r="M161">
        <v>88</v>
      </c>
      <c r="N161">
        <v>8.06</v>
      </c>
      <c r="O161">
        <v>10.918114143920601</v>
      </c>
      <c r="P161">
        <v>1.28970352295414E-3</v>
      </c>
    </row>
    <row r="162" spans="1:16" x14ac:dyDescent="0.2">
      <c r="A162" t="s">
        <v>16</v>
      </c>
      <c r="B162" t="s">
        <v>25</v>
      </c>
      <c r="C162">
        <v>1</v>
      </c>
      <c r="D162">
        <v>100</v>
      </c>
      <c r="E162">
        <v>0</v>
      </c>
      <c r="F162">
        <v>0</v>
      </c>
      <c r="G162" t="s">
        <v>18</v>
      </c>
      <c r="H162" t="s">
        <v>19</v>
      </c>
      <c r="I162">
        <v>5.3</v>
      </c>
      <c r="J162">
        <v>0</v>
      </c>
      <c r="K162">
        <v>1.0425116254898E-2</v>
      </c>
      <c r="L162">
        <v>1</v>
      </c>
      <c r="M162">
        <v>93.995999999999995</v>
      </c>
      <c r="N162">
        <v>5.3</v>
      </c>
      <c r="O162">
        <v>17.735094339622599</v>
      </c>
      <c r="P162">
        <v>1.9670030669618802E-3</v>
      </c>
    </row>
    <row r="163" spans="1:16" x14ac:dyDescent="0.2">
      <c r="A163" t="s">
        <v>16</v>
      </c>
      <c r="B163" t="s">
        <v>25</v>
      </c>
      <c r="C163">
        <v>1</v>
      </c>
      <c r="D163">
        <v>100</v>
      </c>
      <c r="E163">
        <v>0</v>
      </c>
      <c r="F163">
        <v>0</v>
      </c>
      <c r="G163" t="s">
        <v>18</v>
      </c>
      <c r="H163" t="s">
        <v>22</v>
      </c>
      <c r="I163">
        <v>5.8</v>
      </c>
      <c r="J163">
        <v>0</v>
      </c>
      <c r="K163">
        <v>1.04384133611691E-2</v>
      </c>
      <c r="L163">
        <v>1</v>
      </c>
      <c r="M163">
        <v>94</v>
      </c>
      <c r="N163">
        <v>5.8</v>
      </c>
      <c r="O163">
        <v>16.2068965517241</v>
      </c>
      <c r="P163">
        <v>1.7997264415808799E-3</v>
      </c>
    </row>
    <row r="164" spans="1:16" x14ac:dyDescent="0.2">
      <c r="A164" t="s">
        <v>16</v>
      </c>
      <c r="B164" t="s">
        <v>25</v>
      </c>
      <c r="C164">
        <v>1</v>
      </c>
      <c r="D164">
        <v>100</v>
      </c>
      <c r="E164">
        <v>0</v>
      </c>
      <c r="F164">
        <v>0</v>
      </c>
      <c r="G164" t="s">
        <v>23</v>
      </c>
      <c r="H164" t="s">
        <v>19</v>
      </c>
      <c r="I164">
        <v>6.82</v>
      </c>
      <c r="J164">
        <v>0</v>
      </c>
      <c r="K164">
        <v>1.0394261711905E-2</v>
      </c>
      <c r="L164">
        <v>1</v>
      </c>
      <c r="M164">
        <v>92.075999999999993</v>
      </c>
      <c r="N164">
        <v>6.82</v>
      </c>
      <c r="O164">
        <v>13.500879765395901</v>
      </c>
      <c r="P164">
        <v>1.5240852950007299E-3</v>
      </c>
    </row>
    <row r="165" spans="1:16" x14ac:dyDescent="0.2">
      <c r="A165" t="s">
        <v>16</v>
      </c>
      <c r="B165" t="s">
        <v>25</v>
      </c>
      <c r="C165">
        <v>1</v>
      </c>
      <c r="D165">
        <v>100</v>
      </c>
      <c r="E165">
        <v>0</v>
      </c>
      <c r="F165">
        <v>0</v>
      </c>
      <c r="G165" t="s">
        <v>23</v>
      </c>
      <c r="H165" t="s">
        <v>22</v>
      </c>
      <c r="I165">
        <v>7.64</v>
      </c>
      <c r="J165">
        <v>0</v>
      </c>
      <c r="K165">
        <v>1.0382059800664501E-2</v>
      </c>
      <c r="L165">
        <v>1</v>
      </c>
      <c r="M165">
        <v>92</v>
      </c>
      <c r="N165">
        <v>7.64</v>
      </c>
      <c r="O165">
        <v>12.0418848167539</v>
      </c>
      <c r="P165">
        <v>1.35890835087231E-3</v>
      </c>
    </row>
    <row r="166" spans="1:16" x14ac:dyDescent="0.2">
      <c r="A166" t="s">
        <v>16</v>
      </c>
      <c r="B166" t="s">
        <v>25</v>
      </c>
      <c r="C166">
        <v>2</v>
      </c>
      <c r="D166">
        <v>25</v>
      </c>
      <c r="E166">
        <v>0</v>
      </c>
      <c r="F166">
        <v>0</v>
      </c>
      <c r="G166" t="s">
        <v>18</v>
      </c>
      <c r="H166" t="s">
        <v>19</v>
      </c>
      <c r="I166">
        <v>3.92</v>
      </c>
      <c r="J166">
        <v>0</v>
      </c>
      <c r="K166">
        <v>1.12577797684189E-2</v>
      </c>
      <c r="L166">
        <v>1</v>
      </c>
      <c r="M166">
        <v>69.031999999999996</v>
      </c>
      <c r="N166">
        <v>3.92</v>
      </c>
      <c r="O166">
        <v>17.610204081632698</v>
      </c>
      <c r="P166">
        <v>2.8718825939844199E-3</v>
      </c>
    </row>
    <row r="167" spans="1:16" x14ac:dyDescent="0.2">
      <c r="A167" t="s">
        <v>16</v>
      </c>
      <c r="B167" t="s">
        <v>25</v>
      </c>
      <c r="C167">
        <v>2</v>
      </c>
      <c r="D167">
        <v>25</v>
      </c>
      <c r="E167">
        <v>0</v>
      </c>
      <c r="F167">
        <v>0</v>
      </c>
      <c r="G167" t="s">
        <v>18</v>
      </c>
      <c r="H167" t="s">
        <v>22</v>
      </c>
      <c r="I167">
        <v>5.0999999999999996</v>
      </c>
      <c r="J167">
        <v>0</v>
      </c>
      <c r="K167">
        <v>1.1384335154827001E-2</v>
      </c>
      <c r="L167">
        <v>1</v>
      </c>
      <c r="M167">
        <v>58</v>
      </c>
      <c r="N167">
        <v>5.0999999999999996</v>
      </c>
      <c r="O167">
        <v>11.372549019607799</v>
      </c>
      <c r="P167">
        <v>2.2322225793778398E-3</v>
      </c>
    </row>
    <row r="168" spans="1:16" x14ac:dyDescent="0.2">
      <c r="A168" t="s">
        <v>16</v>
      </c>
      <c r="B168" t="s">
        <v>25</v>
      </c>
      <c r="C168">
        <v>2</v>
      </c>
      <c r="D168">
        <v>25</v>
      </c>
      <c r="E168">
        <v>0</v>
      </c>
      <c r="F168">
        <v>0</v>
      </c>
      <c r="G168" t="s">
        <v>23</v>
      </c>
      <c r="H168" t="s">
        <v>19</v>
      </c>
      <c r="I168">
        <v>12.5</v>
      </c>
      <c r="J168">
        <v>0</v>
      </c>
      <c r="K168">
        <v>5.6481536184440299E-3</v>
      </c>
      <c r="L168">
        <v>8.0000000000000002E-3</v>
      </c>
      <c r="M168">
        <v>0.04</v>
      </c>
      <c r="N168">
        <v>12.5</v>
      </c>
      <c r="O168">
        <v>3.2000000000000002E-3</v>
      </c>
      <c r="P168">
        <v>4.5185228947552302E-4</v>
      </c>
    </row>
    <row r="169" spans="1:16" x14ac:dyDescent="0.2">
      <c r="A169" t="s">
        <v>16</v>
      </c>
      <c r="B169" t="s">
        <v>25</v>
      </c>
      <c r="C169">
        <v>2</v>
      </c>
      <c r="D169">
        <v>25</v>
      </c>
      <c r="E169">
        <v>0</v>
      </c>
      <c r="F169">
        <v>0</v>
      </c>
      <c r="G169" t="s">
        <v>23</v>
      </c>
      <c r="H169" t="s">
        <v>22</v>
      </c>
      <c r="I169">
        <v>12.5</v>
      </c>
      <c r="J169">
        <v>0</v>
      </c>
      <c r="K169">
        <v>3.2726796701138899E-3</v>
      </c>
      <c r="L169">
        <v>0</v>
      </c>
      <c r="M169">
        <v>0</v>
      </c>
      <c r="N169">
        <v>12.5</v>
      </c>
      <c r="O169">
        <v>0</v>
      </c>
      <c r="P169">
        <v>2.6181437360911101E-4</v>
      </c>
    </row>
    <row r="170" spans="1:16" x14ac:dyDescent="0.2">
      <c r="A170" t="s">
        <v>16</v>
      </c>
      <c r="B170" t="s">
        <v>25</v>
      </c>
      <c r="C170">
        <v>2</v>
      </c>
      <c r="D170">
        <v>50</v>
      </c>
      <c r="E170">
        <v>0</v>
      </c>
      <c r="F170">
        <v>0</v>
      </c>
      <c r="G170" t="s">
        <v>18</v>
      </c>
      <c r="H170" t="s">
        <v>19</v>
      </c>
      <c r="I170">
        <v>4.6399999999999997</v>
      </c>
      <c r="J170">
        <v>0</v>
      </c>
      <c r="K170">
        <v>1.08370481985461E-2</v>
      </c>
      <c r="L170">
        <v>1</v>
      </c>
      <c r="M170">
        <v>81.903999999999996</v>
      </c>
      <c r="N170">
        <v>4.6399999999999997</v>
      </c>
      <c r="O170">
        <v>17.651724137931001</v>
      </c>
      <c r="P170">
        <v>2.3355707324452801E-3</v>
      </c>
    </row>
    <row r="171" spans="1:16" x14ac:dyDescent="0.2">
      <c r="A171" t="s">
        <v>16</v>
      </c>
      <c r="B171" t="s">
        <v>25</v>
      </c>
      <c r="C171">
        <v>2</v>
      </c>
      <c r="D171">
        <v>50</v>
      </c>
      <c r="E171">
        <v>0</v>
      </c>
      <c r="F171">
        <v>0</v>
      </c>
      <c r="G171" t="s">
        <v>18</v>
      </c>
      <c r="H171" t="s">
        <v>22</v>
      </c>
      <c r="I171">
        <v>5.52</v>
      </c>
      <c r="J171">
        <v>0</v>
      </c>
      <c r="K171">
        <v>1.0831889081455799E-2</v>
      </c>
      <c r="L171">
        <v>1</v>
      </c>
      <c r="M171">
        <v>78</v>
      </c>
      <c r="N171">
        <v>5.52</v>
      </c>
      <c r="O171">
        <v>14.130434782608701</v>
      </c>
      <c r="P171">
        <v>1.9622987466405401E-3</v>
      </c>
    </row>
    <row r="172" spans="1:16" x14ac:dyDescent="0.2">
      <c r="A172" t="s">
        <v>16</v>
      </c>
      <c r="B172" t="s">
        <v>25</v>
      </c>
      <c r="C172">
        <v>2</v>
      </c>
      <c r="D172">
        <v>50</v>
      </c>
      <c r="E172">
        <v>0</v>
      </c>
      <c r="F172">
        <v>0</v>
      </c>
      <c r="G172" t="s">
        <v>23</v>
      </c>
      <c r="H172" t="s">
        <v>19</v>
      </c>
      <c r="I172">
        <v>9.42</v>
      </c>
      <c r="J172">
        <v>0</v>
      </c>
      <c r="K172">
        <v>1.0429138235494E-2</v>
      </c>
      <c r="L172">
        <v>1</v>
      </c>
      <c r="M172">
        <v>62.468000000000004</v>
      </c>
      <c r="N172">
        <v>9.42</v>
      </c>
      <c r="O172">
        <v>6.6314225053078601</v>
      </c>
      <c r="P172">
        <v>1.1071272012201699E-3</v>
      </c>
    </row>
    <row r="173" spans="1:16" x14ac:dyDescent="0.2">
      <c r="A173" t="s">
        <v>16</v>
      </c>
      <c r="B173" t="s">
        <v>25</v>
      </c>
      <c r="C173">
        <v>2</v>
      </c>
      <c r="D173">
        <v>50</v>
      </c>
      <c r="E173">
        <v>0</v>
      </c>
      <c r="F173">
        <v>0</v>
      </c>
      <c r="G173" t="s">
        <v>23</v>
      </c>
      <c r="H173" t="s">
        <v>22</v>
      </c>
      <c r="I173">
        <v>25</v>
      </c>
      <c r="J173">
        <v>0</v>
      </c>
      <c r="K173">
        <v>4.9632717887631503E-3</v>
      </c>
      <c r="L173">
        <v>0</v>
      </c>
      <c r="M173">
        <v>0</v>
      </c>
      <c r="N173">
        <v>25</v>
      </c>
      <c r="O173">
        <v>0</v>
      </c>
      <c r="P173">
        <v>1.9853087155052599E-4</v>
      </c>
    </row>
    <row r="174" spans="1:16" x14ac:dyDescent="0.2">
      <c r="A174" t="s">
        <v>16</v>
      </c>
      <c r="B174" t="s">
        <v>25</v>
      </c>
      <c r="C174">
        <v>2</v>
      </c>
      <c r="D174">
        <v>75</v>
      </c>
      <c r="E174">
        <v>0</v>
      </c>
      <c r="F174">
        <v>0</v>
      </c>
      <c r="G174" t="s">
        <v>18</v>
      </c>
      <c r="H174" t="s">
        <v>19</v>
      </c>
      <c r="I174">
        <v>4.9400000000000004</v>
      </c>
      <c r="J174">
        <v>0</v>
      </c>
      <c r="K174">
        <v>1.0700814951075799E-2</v>
      </c>
      <c r="L174">
        <v>1</v>
      </c>
      <c r="M174">
        <v>86.048000000000002</v>
      </c>
      <c r="N174">
        <v>4.9400000000000004</v>
      </c>
      <c r="O174">
        <v>17.418623481781399</v>
      </c>
      <c r="P174">
        <v>2.16615687268741E-3</v>
      </c>
    </row>
    <row r="175" spans="1:16" x14ac:dyDescent="0.2">
      <c r="A175" t="s">
        <v>16</v>
      </c>
      <c r="B175" t="s">
        <v>25</v>
      </c>
      <c r="C175">
        <v>2</v>
      </c>
      <c r="D175">
        <v>75</v>
      </c>
      <c r="E175">
        <v>0</v>
      </c>
      <c r="F175">
        <v>0</v>
      </c>
      <c r="G175" t="s">
        <v>18</v>
      </c>
      <c r="H175" t="s">
        <v>22</v>
      </c>
      <c r="I175">
        <v>5.64</v>
      </c>
      <c r="J175">
        <v>0</v>
      </c>
      <c r="K175">
        <v>1.06405618216642E-2</v>
      </c>
      <c r="L175">
        <v>1</v>
      </c>
      <c r="M175">
        <v>86</v>
      </c>
      <c r="N175">
        <v>5.64</v>
      </c>
      <c r="O175">
        <v>15.248226950354599</v>
      </c>
      <c r="P175">
        <v>1.8866244364652801E-3</v>
      </c>
    </row>
    <row r="176" spans="1:16" x14ac:dyDescent="0.2">
      <c r="A176" t="s">
        <v>16</v>
      </c>
      <c r="B176" t="s">
        <v>25</v>
      </c>
      <c r="C176">
        <v>2</v>
      </c>
      <c r="D176">
        <v>75</v>
      </c>
      <c r="E176">
        <v>0</v>
      </c>
      <c r="F176">
        <v>0</v>
      </c>
      <c r="G176" t="s">
        <v>23</v>
      </c>
      <c r="H176" t="s">
        <v>19</v>
      </c>
      <c r="I176">
        <v>7.9</v>
      </c>
      <c r="J176">
        <v>0</v>
      </c>
      <c r="K176">
        <v>1.05487052759171E-2</v>
      </c>
      <c r="L176">
        <v>1</v>
      </c>
      <c r="M176">
        <v>78.88</v>
      </c>
      <c r="N176">
        <v>7.9</v>
      </c>
      <c r="O176">
        <v>9.9848101265822802</v>
      </c>
      <c r="P176">
        <v>1.33527914885026E-3</v>
      </c>
    </row>
    <row r="177" spans="1:16" x14ac:dyDescent="0.2">
      <c r="A177" t="s">
        <v>16</v>
      </c>
      <c r="B177" t="s">
        <v>25</v>
      </c>
      <c r="C177">
        <v>2</v>
      </c>
      <c r="D177">
        <v>75</v>
      </c>
      <c r="E177">
        <v>0</v>
      </c>
      <c r="F177">
        <v>0</v>
      </c>
      <c r="G177" t="s">
        <v>23</v>
      </c>
      <c r="H177" t="s">
        <v>22</v>
      </c>
      <c r="I177">
        <v>11.2</v>
      </c>
      <c r="J177">
        <v>0</v>
      </c>
      <c r="K177">
        <v>1.03755965968043E-2</v>
      </c>
      <c r="L177">
        <v>1</v>
      </c>
      <c r="M177">
        <v>70</v>
      </c>
      <c r="N177">
        <v>11.2</v>
      </c>
      <c r="O177">
        <v>6.25</v>
      </c>
      <c r="P177">
        <v>9.2639255328610004E-4</v>
      </c>
    </row>
    <row r="178" spans="1:16" x14ac:dyDescent="0.2">
      <c r="A178" t="s">
        <v>16</v>
      </c>
      <c r="B178" t="s">
        <v>25</v>
      </c>
      <c r="C178">
        <v>2</v>
      </c>
      <c r="D178">
        <v>100</v>
      </c>
      <c r="E178">
        <v>0</v>
      </c>
      <c r="F178">
        <v>0</v>
      </c>
      <c r="G178" t="s">
        <v>18</v>
      </c>
      <c r="H178" t="s">
        <v>19</v>
      </c>
      <c r="I178">
        <v>5.14</v>
      </c>
      <c r="J178">
        <v>0</v>
      </c>
      <c r="K178">
        <v>1.0591147486450099E-2</v>
      </c>
      <c r="L178">
        <v>1</v>
      </c>
      <c r="M178">
        <v>90</v>
      </c>
      <c r="N178">
        <v>5.14</v>
      </c>
      <c r="O178">
        <v>17.5097276264591</v>
      </c>
      <c r="P178">
        <v>2.0605345304377698E-3</v>
      </c>
    </row>
    <row r="179" spans="1:16" x14ac:dyDescent="0.2">
      <c r="A179" t="s">
        <v>16</v>
      </c>
      <c r="B179" t="s">
        <v>25</v>
      </c>
      <c r="C179">
        <v>2</v>
      </c>
      <c r="D179">
        <v>100</v>
      </c>
      <c r="E179">
        <v>0</v>
      </c>
      <c r="F179">
        <v>0</v>
      </c>
      <c r="G179" t="s">
        <v>18</v>
      </c>
      <c r="H179" t="s">
        <v>22</v>
      </c>
      <c r="I179">
        <v>5.72</v>
      </c>
      <c r="J179">
        <v>0</v>
      </c>
      <c r="K179">
        <v>1.0626992561105201E-2</v>
      </c>
      <c r="L179">
        <v>1</v>
      </c>
      <c r="M179">
        <v>90</v>
      </c>
      <c r="N179">
        <v>5.72</v>
      </c>
      <c r="O179">
        <v>15.7342657342657</v>
      </c>
      <c r="P179">
        <v>1.8578658323610501E-3</v>
      </c>
    </row>
    <row r="180" spans="1:16" x14ac:dyDescent="0.2">
      <c r="A180" t="s">
        <v>16</v>
      </c>
      <c r="B180" t="s">
        <v>25</v>
      </c>
      <c r="C180">
        <v>2</v>
      </c>
      <c r="D180">
        <v>100</v>
      </c>
      <c r="E180">
        <v>0</v>
      </c>
      <c r="F180">
        <v>0</v>
      </c>
      <c r="G180" t="s">
        <v>23</v>
      </c>
      <c r="H180" t="s">
        <v>19</v>
      </c>
      <c r="I180">
        <v>7.34</v>
      </c>
      <c r="J180">
        <v>0</v>
      </c>
      <c r="K180">
        <v>1.054210388557E-2</v>
      </c>
      <c r="L180">
        <v>1</v>
      </c>
      <c r="M180">
        <v>85.552000000000007</v>
      </c>
      <c r="N180">
        <v>7.34</v>
      </c>
      <c r="O180">
        <v>11.6555858310627</v>
      </c>
      <c r="P180">
        <v>1.4362539353637599E-3</v>
      </c>
    </row>
    <row r="181" spans="1:16" x14ac:dyDescent="0.2">
      <c r="A181" t="s">
        <v>16</v>
      </c>
      <c r="B181" t="s">
        <v>25</v>
      </c>
      <c r="C181">
        <v>2</v>
      </c>
      <c r="D181">
        <v>100</v>
      </c>
      <c r="E181">
        <v>0</v>
      </c>
      <c r="F181">
        <v>0</v>
      </c>
      <c r="G181" t="s">
        <v>23</v>
      </c>
      <c r="H181" t="s">
        <v>22</v>
      </c>
      <c r="I181">
        <v>9.1</v>
      </c>
      <c r="J181">
        <v>0</v>
      </c>
      <c r="K181">
        <v>1.0501995379121999E-2</v>
      </c>
      <c r="L181">
        <v>1</v>
      </c>
      <c r="M181">
        <v>82</v>
      </c>
      <c r="N181">
        <v>9.1</v>
      </c>
      <c r="O181">
        <v>9.0109890109890092</v>
      </c>
      <c r="P181">
        <v>1.15406542627715E-3</v>
      </c>
    </row>
    <row r="182" spans="1:16" x14ac:dyDescent="0.2">
      <c r="A182" t="s">
        <v>16</v>
      </c>
      <c r="B182" t="s">
        <v>25</v>
      </c>
      <c r="C182">
        <v>5</v>
      </c>
      <c r="D182">
        <v>25</v>
      </c>
      <c r="E182">
        <v>0</v>
      </c>
      <c r="F182">
        <v>0</v>
      </c>
      <c r="G182" t="s">
        <v>18</v>
      </c>
      <c r="H182" t="s">
        <v>19</v>
      </c>
      <c r="I182">
        <v>2.84</v>
      </c>
      <c r="J182">
        <v>0</v>
      </c>
      <c r="K182">
        <v>1.24635446592161E-2</v>
      </c>
      <c r="L182">
        <v>1</v>
      </c>
      <c r="M182">
        <v>46.844000000000001</v>
      </c>
      <c r="N182">
        <v>2.84</v>
      </c>
      <c r="O182">
        <v>16.494366197183101</v>
      </c>
      <c r="P182">
        <v>4.3885720631042504E-3</v>
      </c>
    </row>
    <row r="183" spans="1:16" x14ac:dyDescent="0.2">
      <c r="A183" t="s">
        <v>16</v>
      </c>
      <c r="B183" t="s">
        <v>25</v>
      </c>
      <c r="C183">
        <v>5</v>
      </c>
      <c r="D183">
        <v>25</v>
      </c>
      <c r="E183">
        <v>0</v>
      </c>
      <c r="F183">
        <v>0</v>
      </c>
      <c r="G183" t="s">
        <v>18</v>
      </c>
      <c r="H183" t="s">
        <v>22</v>
      </c>
      <c r="I183">
        <v>4.5</v>
      </c>
      <c r="J183">
        <v>0</v>
      </c>
      <c r="K183">
        <v>1.3846579894766E-2</v>
      </c>
      <c r="L183">
        <v>1</v>
      </c>
      <c r="M183">
        <v>18</v>
      </c>
      <c r="N183">
        <v>4.5</v>
      </c>
      <c r="O183">
        <v>4</v>
      </c>
      <c r="P183">
        <v>3.07701775439244E-3</v>
      </c>
    </row>
    <row r="184" spans="1:16" x14ac:dyDescent="0.2">
      <c r="A184" t="s">
        <v>16</v>
      </c>
      <c r="B184" t="s">
        <v>25</v>
      </c>
      <c r="C184">
        <v>5</v>
      </c>
      <c r="D184">
        <v>25</v>
      </c>
      <c r="E184">
        <v>0</v>
      </c>
      <c r="F184">
        <v>0</v>
      </c>
      <c r="G184" t="s">
        <v>23</v>
      </c>
      <c r="H184" t="s">
        <v>19</v>
      </c>
      <c r="I184">
        <v>5</v>
      </c>
      <c r="J184">
        <v>0</v>
      </c>
      <c r="K184">
        <v>3.9312314615520001E-3</v>
      </c>
      <c r="L184">
        <v>0</v>
      </c>
      <c r="M184">
        <v>0</v>
      </c>
      <c r="N184">
        <v>5</v>
      </c>
      <c r="O184">
        <v>0</v>
      </c>
      <c r="P184">
        <v>7.8624629231040103E-4</v>
      </c>
    </row>
    <row r="185" spans="1:16" x14ac:dyDescent="0.2">
      <c r="A185" t="s">
        <v>16</v>
      </c>
      <c r="B185" t="s">
        <v>25</v>
      </c>
      <c r="C185">
        <v>5</v>
      </c>
      <c r="D185">
        <v>25</v>
      </c>
      <c r="E185">
        <v>0</v>
      </c>
      <c r="F185">
        <v>0</v>
      </c>
      <c r="G185" t="s">
        <v>23</v>
      </c>
      <c r="H185" t="s">
        <v>22</v>
      </c>
      <c r="I185">
        <v>5</v>
      </c>
      <c r="J185">
        <v>0</v>
      </c>
      <c r="K185">
        <v>3.0057108506161699E-3</v>
      </c>
      <c r="L185">
        <v>0</v>
      </c>
      <c r="M185">
        <v>0</v>
      </c>
      <c r="N185">
        <v>5</v>
      </c>
      <c r="O185">
        <v>0</v>
      </c>
      <c r="P185">
        <v>6.0114217012323401E-4</v>
      </c>
    </row>
    <row r="186" spans="1:16" x14ac:dyDescent="0.2">
      <c r="A186" t="s">
        <v>16</v>
      </c>
      <c r="B186" t="s">
        <v>25</v>
      </c>
      <c r="C186">
        <v>5</v>
      </c>
      <c r="D186">
        <v>50</v>
      </c>
      <c r="E186">
        <v>0</v>
      </c>
      <c r="F186">
        <v>0</v>
      </c>
      <c r="G186" t="s">
        <v>18</v>
      </c>
      <c r="H186" t="s">
        <v>19</v>
      </c>
      <c r="I186">
        <v>3.86</v>
      </c>
      <c r="J186">
        <v>0</v>
      </c>
      <c r="K186">
        <v>1.15608441819377E-2</v>
      </c>
      <c r="L186">
        <v>1</v>
      </c>
      <c r="M186">
        <v>66.296000000000006</v>
      </c>
      <c r="N186">
        <v>3.86</v>
      </c>
      <c r="O186">
        <v>17.175129533678799</v>
      </c>
      <c r="P186">
        <v>2.9950373528336099E-3</v>
      </c>
    </row>
    <row r="187" spans="1:16" x14ac:dyDescent="0.2">
      <c r="A187" t="s">
        <v>16</v>
      </c>
      <c r="B187" t="s">
        <v>25</v>
      </c>
      <c r="C187">
        <v>5</v>
      </c>
      <c r="D187">
        <v>50</v>
      </c>
      <c r="E187">
        <v>0</v>
      </c>
      <c r="F187">
        <v>0</v>
      </c>
      <c r="G187" t="s">
        <v>18</v>
      </c>
      <c r="H187" t="s">
        <v>22</v>
      </c>
      <c r="I187">
        <v>5.0199999999999996</v>
      </c>
      <c r="J187">
        <v>0</v>
      </c>
      <c r="K187">
        <v>1.17288294628196E-2</v>
      </c>
      <c r="L187">
        <v>1</v>
      </c>
      <c r="M187">
        <v>48</v>
      </c>
      <c r="N187">
        <v>5.0199999999999996</v>
      </c>
      <c r="O187">
        <v>9.5617529880478092</v>
      </c>
      <c r="P187">
        <v>2.3364202117170498E-3</v>
      </c>
    </row>
    <row r="188" spans="1:16" x14ac:dyDescent="0.2">
      <c r="A188" t="s">
        <v>16</v>
      </c>
      <c r="B188" t="s">
        <v>25</v>
      </c>
      <c r="C188">
        <v>5</v>
      </c>
      <c r="D188">
        <v>50</v>
      </c>
      <c r="E188">
        <v>0</v>
      </c>
      <c r="F188">
        <v>0</v>
      </c>
      <c r="G188" t="s">
        <v>23</v>
      </c>
      <c r="H188" t="s">
        <v>19</v>
      </c>
      <c r="I188">
        <v>10</v>
      </c>
      <c r="J188">
        <v>0</v>
      </c>
      <c r="K188">
        <v>4.8009270894775399E-3</v>
      </c>
      <c r="L188">
        <v>0</v>
      </c>
      <c r="M188">
        <v>0</v>
      </c>
      <c r="N188">
        <v>10</v>
      </c>
      <c r="O188">
        <v>0</v>
      </c>
      <c r="P188">
        <v>4.8009270894775401E-4</v>
      </c>
    </row>
    <row r="189" spans="1:16" x14ac:dyDescent="0.2">
      <c r="A189" t="s">
        <v>16</v>
      </c>
      <c r="B189" t="s">
        <v>25</v>
      </c>
      <c r="C189">
        <v>5</v>
      </c>
      <c r="D189">
        <v>50</v>
      </c>
      <c r="E189">
        <v>0</v>
      </c>
      <c r="F189">
        <v>0</v>
      </c>
      <c r="G189" t="s">
        <v>23</v>
      </c>
      <c r="H189" t="s">
        <v>22</v>
      </c>
      <c r="I189">
        <v>10</v>
      </c>
      <c r="J189">
        <v>0</v>
      </c>
      <c r="K189">
        <v>3.1936637710781798E-3</v>
      </c>
      <c r="L189">
        <v>0</v>
      </c>
      <c r="M189">
        <v>0</v>
      </c>
      <c r="N189">
        <v>10</v>
      </c>
      <c r="O189">
        <v>0</v>
      </c>
      <c r="P189">
        <v>3.1936637710781803E-4</v>
      </c>
    </row>
    <row r="190" spans="1:16" x14ac:dyDescent="0.2">
      <c r="A190" t="s">
        <v>16</v>
      </c>
      <c r="B190" t="s">
        <v>25</v>
      </c>
      <c r="C190">
        <v>5</v>
      </c>
      <c r="D190">
        <v>75</v>
      </c>
      <c r="E190">
        <v>0</v>
      </c>
      <c r="F190">
        <v>0</v>
      </c>
      <c r="G190" t="s">
        <v>18</v>
      </c>
      <c r="H190" t="s">
        <v>19</v>
      </c>
      <c r="I190">
        <v>4.4000000000000004</v>
      </c>
      <c r="J190">
        <v>0</v>
      </c>
      <c r="K190">
        <v>1.12575193651198E-2</v>
      </c>
      <c r="L190">
        <v>1</v>
      </c>
      <c r="M190">
        <v>75.352000000000004</v>
      </c>
      <c r="N190">
        <v>4.4000000000000004</v>
      </c>
      <c r="O190">
        <v>17.125454545454499</v>
      </c>
      <c r="P190">
        <v>2.5585271284363298E-3</v>
      </c>
    </row>
    <row r="191" spans="1:16" x14ac:dyDescent="0.2">
      <c r="A191" t="s">
        <v>16</v>
      </c>
      <c r="B191" t="s">
        <v>25</v>
      </c>
      <c r="C191">
        <v>5</v>
      </c>
      <c r="D191">
        <v>75</v>
      </c>
      <c r="E191">
        <v>0</v>
      </c>
      <c r="F191">
        <v>0</v>
      </c>
      <c r="G191" t="s">
        <v>18</v>
      </c>
      <c r="H191" t="s">
        <v>22</v>
      </c>
      <c r="I191">
        <v>5.52</v>
      </c>
      <c r="J191">
        <v>0</v>
      </c>
      <c r="K191">
        <v>1.1340440009072399E-2</v>
      </c>
      <c r="L191">
        <v>1</v>
      </c>
      <c r="M191">
        <v>68</v>
      </c>
      <c r="N191">
        <v>5.52</v>
      </c>
      <c r="O191">
        <v>12.3188405797101</v>
      </c>
      <c r="P191">
        <v>2.0544275378754301E-3</v>
      </c>
    </row>
    <row r="192" spans="1:16" x14ac:dyDescent="0.2">
      <c r="A192" t="s">
        <v>16</v>
      </c>
      <c r="B192" t="s">
        <v>25</v>
      </c>
      <c r="C192">
        <v>5</v>
      </c>
      <c r="D192">
        <v>75</v>
      </c>
      <c r="E192">
        <v>0</v>
      </c>
      <c r="F192">
        <v>0</v>
      </c>
      <c r="G192" t="s">
        <v>23</v>
      </c>
      <c r="H192" t="s">
        <v>19</v>
      </c>
      <c r="I192">
        <v>13.72</v>
      </c>
      <c r="J192">
        <v>0</v>
      </c>
      <c r="K192">
        <v>9.1015326216507403E-3</v>
      </c>
      <c r="L192">
        <v>0.49399999999999999</v>
      </c>
      <c r="M192">
        <v>10.28</v>
      </c>
      <c r="N192">
        <v>13.72</v>
      </c>
      <c r="O192">
        <v>0.74927113702623904</v>
      </c>
      <c r="P192">
        <v>6.6337701323985001E-4</v>
      </c>
    </row>
    <row r="193" spans="1:16" x14ac:dyDescent="0.2">
      <c r="A193" t="s">
        <v>16</v>
      </c>
      <c r="B193" t="s">
        <v>25</v>
      </c>
      <c r="C193">
        <v>5</v>
      </c>
      <c r="D193">
        <v>75</v>
      </c>
      <c r="E193">
        <v>0</v>
      </c>
      <c r="F193">
        <v>0</v>
      </c>
      <c r="G193" t="s">
        <v>23</v>
      </c>
      <c r="H193" t="s">
        <v>22</v>
      </c>
      <c r="I193">
        <v>15</v>
      </c>
      <c r="J193">
        <v>0</v>
      </c>
      <c r="K193">
        <v>3.47995545657016E-3</v>
      </c>
      <c r="L193">
        <v>0</v>
      </c>
      <c r="M193">
        <v>0</v>
      </c>
      <c r="N193">
        <v>15</v>
      </c>
      <c r="O193">
        <v>0</v>
      </c>
      <c r="P193">
        <v>2.3199703043801E-4</v>
      </c>
    </row>
    <row r="194" spans="1:16" x14ac:dyDescent="0.2">
      <c r="A194" t="s">
        <v>16</v>
      </c>
      <c r="B194" t="s">
        <v>25</v>
      </c>
      <c r="C194">
        <v>5</v>
      </c>
      <c r="D194">
        <v>100</v>
      </c>
      <c r="E194">
        <v>0</v>
      </c>
      <c r="F194">
        <v>0</v>
      </c>
      <c r="G194" t="s">
        <v>18</v>
      </c>
      <c r="H194" t="s">
        <v>19</v>
      </c>
      <c r="I194">
        <v>4.66</v>
      </c>
      <c r="J194">
        <v>0</v>
      </c>
      <c r="K194">
        <v>1.10036222898026E-2</v>
      </c>
      <c r="L194">
        <v>1</v>
      </c>
      <c r="M194">
        <v>78</v>
      </c>
      <c r="N194">
        <v>4.66</v>
      </c>
      <c r="O194">
        <v>16.7381974248927</v>
      </c>
      <c r="P194">
        <v>2.3612923368675201E-3</v>
      </c>
    </row>
    <row r="195" spans="1:16" x14ac:dyDescent="0.2">
      <c r="A195" t="s">
        <v>16</v>
      </c>
      <c r="B195" t="s">
        <v>25</v>
      </c>
      <c r="C195">
        <v>5</v>
      </c>
      <c r="D195">
        <v>100</v>
      </c>
      <c r="E195">
        <v>0</v>
      </c>
      <c r="F195">
        <v>0</v>
      </c>
      <c r="G195" t="s">
        <v>18</v>
      </c>
      <c r="H195" t="s">
        <v>22</v>
      </c>
      <c r="I195">
        <v>5.58</v>
      </c>
      <c r="J195">
        <v>0</v>
      </c>
      <c r="K195">
        <v>1.12157918349035E-2</v>
      </c>
      <c r="L195">
        <v>1</v>
      </c>
      <c r="M195">
        <v>78</v>
      </c>
      <c r="N195">
        <v>5.58</v>
      </c>
      <c r="O195">
        <v>13.9784946236559</v>
      </c>
      <c r="P195">
        <v>2.0099985367210702E-3</v>
      </c>
    </row>
    <row r="196" spans="1:16" x14ac:dyDescent="0.2">
      <c r="A196" t="s">
        <v>16</v>
      </c>
      <c r="B196" t="s">
        <v>25</v>
      </c>
      <c r="C196">
        <v>5</v>
      </c>
      <c r="D196">
        <v>100</v>
      </c>
      <c r="E196">
        <v>0</v>
      </c>
      <c r="F196">
        <v>0</v>
      </c>
      <c r="G196" t="s">
        <v>23</v>
      </c>
      <c r="H196" t="s">
        <v>19</v>
      </c>
      <c r="I196">
        <v>10.1</v>
      </c>
      <c r="J196">
        <v>0</v>
      </c>
      <c r="K196">
        <v>1.08437891651606E-2</v>
      </c>
      <c r="L196">
        <v>0.998</v>
      </c>
      <c r="M196">
        <v>52.491999999999997</v>
      </c>
      <c r="N196">
        <v>10.1</v>
      </c>
      <c r="O196">
        <v>5.1972277227722801</v>
      </c>
      <c r="P196">
        <v>1.07364249160006E-3</v>
      </c>
    </row>
    <row r="197" spans="1:16" x14ac:dyDescent="0.2">
      <c r="A197" t="s">
        <v>16</v>
      </c>
      <c r="B197" t="s">
        <v>25</v>
      </c>
      <c r="C197">
        <v>5</v>
      </c>
      <c r="D197">
        <v>100</v>
      </c>
      <c r="E197">
        <v>0</v>
      </c>
      <c r="F197">
        <v>0</v>
      </c>
      <c r="G197" t="s">
        <v>23</v>
      </c>
      <c r="H197" t="s">
        <v>22</v>
      </c>
      <c r="I197">
        <v>20</v>
      </c>
      <c r="J197">
        <v>0</v>
      </c>
      <c r="K197">
        <v>4.0364898684104302E-3</v>
      </c>
      <c r="L197">
        <v>0</v>
      </c>
      <c r="M197">
        <v>0</v>
      </c>
      <c r="N197">
        <v>20</v>
      </c>
      <c r="O197">
        <v>0</v>
      </c>
      <c r="P197">
        <v>2.0182449342052199E-4</v>
      </c>
    </row>
    <row r="198" spans="1:16" x14ac:dyDescent="0.2">
      <c r="A198" t="s">
        <v>16</v>
      </c>
      <c r="B198" t="s">
        <v>25</v>
      </c>
      <c r="C198">
        <v>1</v>
      </c>
      <c r="D198">
        <v>12</v>
      </c>
      <c r="E198">
        <v>1</v>
      </c>
      <c r="F198">
        <v>12</v>
      </c>
      <c r="G198" t="s">
        <v>18</v>
      </c>
      <c r="H198" t="s">
        <v>19</v>
      </c>
      <c r="I198">
        <v>3.66</v>
      </c>
      <c r="J198">
        <v>3.54</v>
      </c>
      <c r="K198">
        <v>1.1228262105564501E-2</v>
      </c>
      <c r="L198">
        <v>1</v>
      </c>
      <c r="M198">
        <v>68.608000000000004</v>
      </c>
      <c r="N198">
        <v>7.2</v>
      </c>
      <c r="O198">
        <v>9.5288888888888899</v>
      </c>
      <c r="P198">
        <v>1.55948084799507E-3</v>
      </c>
    </row>
    <row r="199" spans="1:16" x14ac:dyDescent="0.2">
      <c r="A199" t="s">
        <v>16</v>
      </c>
      <c r="B199" t="s">
        <v>25</v>
      </c>
      <c r="C199">
        <v>1</v>
      </c>
      <c r="D199">
        <v>12</v>
      </c>
      <c r="E199">
        <v>1</v>
      </c>
      <c r="F199">
        <v>12</v>
      </c>
      <c r="G199" t="s">
        <v>18</v>
      </c>
      <c r="H199" t="s">
        <v>22</v>
      </c>
      <c r="I199">
        <v>4.7</v>
      </c>
      <c r="J199">
        <v>4.7</v>
      </c>
      <c r="K199">
        <v>1.1296882060551299E-2</v>
      </c>
      <c r="L199">
        <v>1</v>
      </c>
      <c r="M199">
        <v>60</v>
      </c>
      <c r="N199">
        <v>9.4</v>
      </c>
      <c r="O199">
        <v>6.3829787234042596</v>
      </c>
      <c r="P199">
        <v>1.2017959638884301E-3</v>
      </c>
    </row>
    <row r="200" spans="1:16" x14ac:dyDescent="0.2">
      <c r="A200" t="s">
        <v>16</v>
      </c>
      <c r="B200" t="s">
        <v>25</v>
      </c>
      <c r="C200">
        <v>1</v>
      </c>
      <c r="D200">
        <v>12</v>
      </c>
      <c r="E200">
        <v>1</v>
      </c>
      <c r="F200">
        <v>12</v>
      </c>
      <c r="G200" t="s">
        <v>23</v>
      </c>
      <c r="H200" t="s">
        <v>19</v>
      </c>
      <c r="I200">
        <v>11.62</v>
      </c>
      <c r="J200">
        <v>11.76</v>
      </c>
      <c r="K200">
        <v>7.1702317766470401E-3</v>
      </c>
      <c r="L200">
        <v>0.11</v>
      </c>
      <c r="M200">
        <v>1.484</v>
      </c>
      <c r="N200">
        <v>23.38</v>
      </c>
      <c r="O200">
        <v>6.3473053892215595E-2</v>
      </c>
      <c r="P200">
        <v>3.0668228300457801E-4</v>
      </c>
    </row>
    <row r="201" spans="1:16" x14ac:dyDescent="0.2">
      <c r="A201" t="s">
        <v>16</v>
      </c>
      <c r="B201" t="s">
        <v>25</v>
      </c>
      <c r="C201">
        <v>1</v>
      </c>
      <c r="D201">
        <v>12</v>
      </c>
      <c r="E201">
        <v>1</v>
      </c>
      <c r="F201">
        <v>12</v>
      </c>
      <c r="G201" t="s">
        <v>23</v>
      </c>
      <c r="H201" t="s">
        <v>22</v>
      </c>
      <c r="I201">
        <v>11.76</v>
      </c>
      <c r="J201">
        <v>11.76</v>
      </c>
      <c r="K201">
        <v>3.4211426616489898E-3</v>
      </c>
      <c r="L201">
        <v>0</v>
      </c>
      <c r="M201">
        <v>0</v>
      </c>
      <c r="N201">
        <v>23.52</v>
      </c>
      <c r="O201">
        <v>0</v>
      </c>
      <c r="P201">
        <v>1.4545674581840901E-4</v>
      </c>
    </row>
    <row r="202" spans="1:16" x14ac:dyDescent="0.2">
      <c r="A202" t="s">
        <v>16</v>
      </c>
      <c r="B202" t="s">
        <v>25</v>
      </c>
      <c r="C202">
        <v>1</v>
      </c>
      <c r="D202">
        <v>25</v>
      </c>
      <c r="E202">
        <v>1</v>
      </c>
      <c r="F202">
        <v>25</v>
      </c>
      <c r="G202" t="s">
        <v>18</v>
      </c>
      <c r="H202" t="s">
        <v>19</v>
      </c>
      <c r="I202">
        <v>4.32</v>
      </c>
      <c r="J202">
        <v>4.7</v>
      </c>
      <c r="K202">
        <v>1.0750820141673801E-2</v>
      </c>
      <c r="L202">
        <v>1</v>
      </c>
      <c r="M202">
        <v>81.876000000000005</v>
      </c>
      <c r="N202">
        <v>9.02</v>
      </c>
      <c r="O202">
        <v>9.0771618625277206</v>
      </c>
      <c r="P202">
        <v>1.19188693366671E-3</v>
      </c>
    </row>
    <row r="203" spans="1:16" x14ac:dyDescent="0.2">
      <c r="A203" t="s">
        <v>16</v>
      </c>
      <c r="B203" t="s">
        <v>25</v>
      </c>
      <c r="C203">
        <v>1</v>
      </c>
      <c r="D203">
        <v>25</v>
      </c>
      <c r="E203">
        <v>1</v>
      </c>
      <c r="F203">
        <v>25</v>
      </c>
      <c r="G203" t="s">
        <v>18</v>
      </c>
      <c r="H203" t="s">
        <v>22</v>
      </c>
      <c r="I203">
        <v>5</v>
      </c>
      <c r="J203">
        <v>4.9800000000000004</v>
      </c>
      <c r="K203">
        <v>1.0734220695577499E-2</v>
      </c>
      <c r="L203">
        <v>1</v>
      </c>
      <c r="M203">
        <v>80</v>
      </c>
      <c r="N203">
        <v>9.98</v>
      </c>
      <c r="O203">
        <v>8.0160320641282592</v>
      </c>
      <c r="P203">
        <v>1.07557321598973E-3</v>
      </c>
    </row>
    <row r="204" spans="1:16" x14ac:dyDescent="0.2">
      <c r="A204" t="s">
        <v>16</v>
      </c>
      <c r="B204" t="s">
        <v>25</v>
      </c>
      <c r="C204">
        <v>1</v>
      </c>
      <c r="D204">
        <v>25</v>
      </c>
      <c r="E204">
        <v>1</v>
      </c>
      <c r="F204">
        <v>25</v>
      </c>
      <c r="G204" t="s">
        <v>23</v>
      </c>
      <c r="H204" t="s">
        <v>19</v>
      </c>
      <c r="I204">
        <v>7.32</v>
      </c>
      <c r="J204">
        <v>5.82</v>
      </c>
      <c r="K204">
        <v>1.0346254605143599E-2</v>
      </c>
      <c r="L204">
        <v>1</v>
      </c>
      <c r="M204">
        <v>69.739999999999995</v>
      </c>
      <c r="N204">
        <v>13.14</v>
      </c>
      <c r="O204">
        <v>5.3074581430745802</v>
      </c>
      <c r="P204">
        <v>7.8738619521640896E-4</v>
      </c>
    </row>
    <row r="205" spans="1:16" x14ac:dyDescent="0.2">
      <c r="A205" t="s">
        <v>16</v>
      </c>
      <c r="B205" t="s">
        <v>25</v>
      </c>
      <c r="C205">
        <v>1</v>
      </c>
      <c r="D205">
        <v>25</v>
      </c>
      <c r="E205">
        <v>1</v>
      </c>
      <c r="F205">
        <v>25</v>
      </c>
      <c r="G205" t="s">
        <v>23</v>
      </c>
      <c r="H205" t="s">
        <v>22</v>
      </c>
      <c r="I205">
        <v>13.9</v>
      </c>
      <c r="J205">
        <v>13.82</v>
      </c>
      <c r="K205">
        <v>9.1743119266055103E-3</v>
      </c>
      <c r="L205">
        <v>1</v>
      </c>
      <c r="M205">
        <v>44</v>
      </c>
      <c r="N205">
        <v>27.72</v>
      </c>
      <c r="O205">
        <v>1.5873015873015901</v>
      </c>
      <c r="P205">
        <v>3.3096363371592699E-4</v>
      </c>
    </row>
    <row r="206" spans="1:16" x14ac:dyDescent="0.2">
      <c r="A206" t="s">
        <v>16</v>
      </c>
      <c r="B206" t="s">
        <v>25</v>
      </c>
      <c r="C206">
        <v>1</v>
      </c>
      <c r="D206">
        <v>37</v>
      </c>
      <c r="E206">
        <v>1</v>
      </c>
      <c r="F206">
        <v>37</v>
      </c>
      <c r="G206" t="s">
        <v>18</v>
      </c>
      <c r="H206" t="s">
        <v>19</v>
      </c>
      <c r="I206">
        <v>4.5599999999999996</v>
      </c>
      <c r="J206">
        <v>4.74</v>
      </c>
      <c r="K206">
        <v>1.06094714727376E-2</v>
      </c>
      <c r="L206">
        <v>1</v>
      </c>
      <c r="M206">
        <v>86.676000000000002</v>
      </c>
      <c r="N206">
        <v>9.3000000000000007</v>
      </c>
      <c r="O206">
        <v>9.32</v>
      </c>
      <c r="P206">
        <v>1.1408033841653401E-3</v>
      </c>
    </row>
    <row r="207" spans="1:16" x14ac:dyDescent="0.2">
      <c r="A207" t="s">
        <v>16</v>
      </c>
      <c r="B207" t="s">
        <v>25</v>
      </c>
      <c r="C207">
        <v>1</v>
      </c>
      <c r="D207">
        <v>37</v>
      </c>
      <c r="E207">
        <v>1</v>
      </c>
      <c r="F207">
        <v>37</v>
      </c>
      <c r="G207" t="s">
        <v>18</v>
      </c>
      <c r="H207" t="s">
        <v>22</v>
      </c>
      <c r="I207">
        <v>5.08</v>
      </c>
      <c r="J207">
        <v>5.0199999999999996</v>
      </c>
      <c r="K207">
        <v>1.0575296108291001E-2</v>
      </c>
      <c r="L207">
        <v>1</v>
      </c>
      <c r="M207">
        <v>86</v>
      </c>
      <c r="N207">
        <v>10.1</v>
      </c>
      <c r="O207">
        <v>8.5148514851485206</v>
      </c>
      <c r="P207">
        <v>1.0470590206228701E-3</v>
      </c>
    </row>
    <row r="208" spans="1:16" x14ac:dyDescent="0.2">
      <c r="A208" t="s">
        <v>16</v>
      </c>
      <c r="B208" t="s">
        <v>25</v>
      </c>
      <c r="C208">
        <v>1</v>
      </c>
      <c r="D208">
        <v>37</v>
      </c>
      <c r="E208">
        <v>1</v>
      </c>
      <c r="F208">
        <v>37</v>
      </c>
      <c r="G208" t="s">
        <v>23</v>
      </c>
      <c r="H208" t="s">
        <v>19</v>
      </c>
      <c r="I208">
        <v>6.42</v>
      </c>
      <c r="J208">
        <v>6.26</v>
      </c>
      <c r="K208">
        <v>1.04242409384088E-2</v>
      </c>
      <c r="L208">
        <v>1</v>
      </c>
      <c r="M208">
        <v>81.671999999999997</v>
      </c>
      <c r="N208">
        <v>12.68</v>
      </c>
      <c r="O208">
        <v>6.4410094637224002</v>
      </c>
      <c r="P208">
        <v>8.2210102037924202E-4</v>
      </c>
    </row>
    <row r="209" spans="1:16" x14ac:dyDescent="0.2">
      <c r="A209" t="s">
        <v>16</v>
      </c>
      <c r="B209" t="s">
        <v>25</v>
      </c>
      <c r="C209">
        <v>1</v>
      </c>
      <c r="D209">
        <v>37</v>
      </c>
      <c r="E209">
        <v>1</v>
      </c>
      <c r="F209">
        <v>37</v>
      </c>
      <c r="G209" t="s">
        <v>23</v>
      </c>
      <c r="H209" t="s">
        <v>22</v>
      </c>
      <c r="I209">
        <v>8.2799999999999994</v>
      </c>
      <c r="J209">
        <v>8.2200000000000006</v>
      </c>
      <c r="K209">
        <v>1.0279605263157901E-2</v>
      </c>
      <c r="L209">
        <v>1</v>
      </c>
      <c r="M209">
        <v>76</v>
      </c>
      <c r="N209">
        <v>16.5</v>
      </c>
      <c r="O209">
        <v>4.60606060606061</v>
      </c>
      <c r="P209">
        <v>6.2300637958532699E-4</v>
      </c>
    </row>
    <row r="210" spans="1:16" x14ac:dyDescent="0.2">
      <c r="A210" t="s">
        <v>16</v>
      </c>
      <c r="B210" t="s">
        <v>25</v>
      </c>
      <c r="C210">
        <v>1</v>
      </c>
      <c r="D210">
        <v>50</v>
      </c>
      <c r="E210">
        <v>1</v>
      </c>
      <c r="F210">
        <v>50</v>
      </c>
      <c r="G210" t="s">
        <v>18</v>
      </c>
      <c r="H210" t="s">
        <v>19</v>
      </c>
      <c r="I210">
        <v>4.68</v>
      </c>
      <c r="J210">
        <v>4.8600000000000003</v>
      </c>
      <c r="K210">
        <v>1.0540880635257901E-2</v>
      </c>
      <c r="L210">
        <v>1</v>
      </c>
      <c r="M210">
        <v>89.947999999999993</v>
      </c>
      <c r="N210">
        <v>9.5399999999999991</v>
      </c>
      <c r="O210">
        <v>9.4285115303983194</v>
      </c>
      <c r="P210">
        <v>1.1049141127104701E-3</v>
      </c>
    </row>
    <row r="211" spans="1:16" x14ac:dyDescent="0.2">
      <c r="A211" t="s">
        <v>16</v>
      </c>
      <c r="B211" t="s">
        <v>25</v>
      </c>
      <c r="C211">
        <v>1</v>
      </c>
      <c r="D211">
        <v>50</v>
      </c>
      <c r="E211">
        <v>1</v>
      </c>
      <c r="F211">
        <v>50</v>
      </c>
      <c r="G211" t="s">
        <v>18</v>
      </c>
      <c r="H211" t="s">
        <v>22</v>
      </c>
      <c r="I211">
        <v>5.08</v>
      </c>
      <c r="J211">
        <v>5.08</v>
      </c>
      <c r="K211">
        <v>1.0504201680672299E-2</v>
      </c>
      <c r="L211">
        <v>1</v>
      </c>
      <c r="M211">
        <v>88</v>
      </c>
      <c r="N211">
        <v>10.16</v>
      </c>
      <c r="O211">
        <v>8.6614173228346498</v>
      </c>
      <c r="P211">
        <v>1.0338781181764001E-3</v>
      </c>
    </row>
    <row r="212" spans="1:16" x14ac:dyDescent="0.2">
      <c r="A212" t="s">
        <v>16</v>
      </c>
      <c r="B212" t="s">
        <v>25</v>
      </c>
      <c r="C212">
        <v>1</v>
      </c>
      <c r="D212">
        <v>50</v>
      </c>
      <c r="E212">
        <v>1</v>
      </c>
      <c r="F212">
        <v>50</v>
      </c>
      <c r="G212" t="s">
        <v>23</v>
      </c>
      <c r="H212" t="s">
        <v>19</v>
      </c>
      <c r="I212">
        <v>6</v>
      </c>
      <c r="J212">
        <v>5.6</v>
      </c>
      <c r="K212">
        <v>1.04178337771395E-2</v>
      </c>
      <c r="L212">
        <v>1</v>
      </c>
      <c r="M212">
        <v>87.024000000000001</v>
      </c>
      <c r="N212">
        <v>11.6</v>
      </c>
      <c r="O212">
        <v>7.5020689655172399</v>
      </c>
      <c r="P212">
        <v>8.9808911871892502E-4</v>
      </c>
    </row>
    <row r="213" spans="1:16" x14ac:dyDescent="0.2">
      <c r="A213" t="s">
        <v>16</v>
      </c>
      <c r="B213" t="s">
        <v>25</v>
      </c>
      <c r="C213">
        <v>1</v>
      </c>
      <c r="D213">
        <v>50</v>
      </c>
      <c r="E213">
        <v>1</v>
      </c>
      <c r="F213">
        <v>50</v>
      </c>
      <c r="G213" t="s">
        <v>23</v>
      </c>
      <c r="H213" t="s">
        <v>22</v>
      </c>
      <c r="I213">
        <v>7.08</v>
      </c>
      <c r="J213">
        <v>6.92</v>
      </c>
      <c r="K213">
        <v>1.0366991499067E-2</v>
      </c>
      <c r="L213">
        <v>1</v>
      </c>
      <c r="M213">
        <v>84</v>
      </c>
      <c r="N213">
        <v>14</v>
      </c>
      <c r="O213">
        <v>6</v>
      </c>
      <c r="P213">
        <v>7.4049939279049798E-4</v>
      </c>
    </row>
    <row r="214" spans="1:16" x14ac:dyDescent="0.2">
      <c r="A214" t="s">
        <v>16</v>
      </c>
      <c r="B214" t="s">
        <v>25</v>
      </c>
      <c r="C214">
        <v>2</v>
      </c>
      <c r="D214">
        <v>12</v>
      </c>
      <c r="E214">
        <v>2</v>
      </c>
      <c r="F214">
        <v>12</v>
      </c>
      <c r="G214" t="s">
        <v>18</v>
      </c>
      <c r="H214" t="s">
        <v>19</v>
      </c>
      <c r="I214">
        <v>2.9</v>
      </c>
      <c r="J214">
        <v>2.9</v>
      </c>
      <c r="K214">
        <v>1.2059917748658999E-2</v>
      </c>
      <c r="L214">
        <v>1</v>
      </c>
      <c r="M214">
        <v>52.112000000000002</v>
      </c>
      <c r="N214">
        <v>5.8</v>
      </c>
      <c r="O214">
        <v>8.9848275862068991</v>
      </c>
      <c r="P214">
        <v>2.0792961635619001E-3</v>
      </c>
    </row>
    <row r="215" spans="1:16" x14ac:dyDescent="0.2">
      <c r="A215" t="s">
        <v>16</v>
      </c>
      <c r="B215" t="s">
        <v>25</v>
      </c>
      <c r="C215">
        <v>2</v>
      </c>
      <c r="D215">
        <v>12</v>
      </c>
      <c r="E215">
        <v>2</v>
      </c>
      <c r="F215">
        <v>12</v>
      </c>
      <c r="G215" t="s">
        <v>18</v>
      </c>
      <c r="H215" t="s">
        <v>22</v>
      </c>
      <c r="I215">
        <v>4.18</v>
      </c>
      <c r="J215">
        <v>4.18</v>
      </c>
      <c r="K215">
        <v>1.26135216952573E-2</v>
      </c>
      <c r="L215">
        <v>1</v>
      </c>
      <c r="M215">
        <v>30</v>
      </c>
      <c r="N215">
        <v>8.36</v>
      </c>
      <c r="O215">
        <v>3.58851674641148</v>
      </c>
      <c r="P215">
        <v>1.5087944611551799E-3</v>
      </c>
    </row>
    <row r="216" spans="1:16" x14ac:dyDescent="0.2">
      <c r="A216" t="s">
        <v>16</v>
      </c>
      <c r="B216" t="s">
        <v>25</v>
      </c>
      <c r="C216">
        <v>2</v>
      </c>
      <c r="D216">
        <v>12</v>
      </c>
      <c r="E216">
        <v>2</v>
      </c>
      <c r="F216">
        <v>12</v>
      </c>
      <c r="G216" t="s">
        <v>23</v>
      </c>
      <c r="H216" t="s">
        <v>19</v>
      </c>
      <c r="I216">
        <v>6</v>
      </c>
      <c r="J216">
        <v>6</v>
      </c>
      <c r="K216">
        <v>4.1747931740222103E-3</v>
      </c>
      <c r="L216">
        <v>0</v>
      </c>
      <c r="M216">
        <v>0</v>
      </c>
      <c r="N216">
        <v>12</v>
      </c>
      <c r="O216">
        <v>0</v>
      </c>
      <c r="P216">
        <v>3.4789943116851797E-4</v>
      </c>
    </row>
    <row r="217" spans="1:16" x14ac:dyDescent="0.2">
      <c r="A217" t="s">
        <v>16</v>
      </c>
      <c r="B217" t="s">
        <v>25</v>
      </c>
      <c r="C217">
        <v>2</v>
      </c>
      <c r="D217">
        <v>12</v>
      </c>
      <c r="E217">
        <v>2</v>
      </c>
      <c r="F217">
        <v>12</v>
      </c>
      <c r="G217" t="s">
        <v>23</v>
      </c>
      <c r="H217" t="s">
        <v>22</v>
      </c>
      <c r="I217">
        <v>6</v>
      </c>
      <c r="J217">
        <v>6</v>
      </c>
      <c r="K217">
        <v>3.0955918771669098E-3</v>
      </c>
      <c r="L217">
        <v>0</v>
      </c>
      <c r="M217">
        <v>0</v>
      </c>
      <c r="N217">
        <v>12</v>
      </c>
      <c r="O217">
        <v>0</v>
      </c>
      <c r="P217">
        <v>2.5796598976391002E-4</v>
      </c>
    </row>
    <row r="218" spans="1:16" x14ac:dyDescent="0.2">
      <c r="A218" t="s">
        <v>16</v>
      </c>
      <c r="B218" t="s">
        <v>25</v>
      </c>
      <c r="C218">
        <v>2</v>
      </c>
      <c r="D218">
        <v>25</v>
      </c>
      <c r="E218">
        <v>2</v>
      </c>
      <c r="F218">
        <v>25</v>
      </c>
      <c r="G218" t="s">
        <v>18</v>
      </c>
      <c r="H218" t="s">
        <v>19</v>
      </c>
      <c r="I218">
        <v>3.72</v>
      </c>
      <c r="J218">
        <v>3.78</v>
      </c>
      <c r="K218">
        <v>1.1215183860003201E-2</v>
      </c>
      <c r="L218">
        <v>1</v>
      </c>
      <c r="M218">
        <v>70.191999999999993</v>
      </c>
      <c r="N218">
        <v>7.5</v>
      </c>
      <c r="O218">
        <v>9.3589333333333293</v>
      </c>
      <c r="P218">
        <v>1.49535784800043E-3</v>
      </c>
    </row>
    <row r="219" spans="1:16" x14ac:dyDescent="0.2">
      <c r="A219" t="s">
        <v>16</v>
      </c>
      <c r="B219" t="s">
        <v>25</v>
      </c>
      <c r="C219">
        <v>2</v>
      </c>
      <c r="D219">
        <v>25</v>
      </c>
      <c r="E219">
        <v>2</v>
      </c>
      <c r="F219">
        <v>25</v>
      </c>
      <c r="G219" t="s">
        <v>18</v>
      </c>
      <c r="H219" t="s">
        <v>22</v>
      </c>
      <c r="I219">
        <v>4.7</v>
      </c>
      <c r="J219">
        <v>4.68</v>
      </c>
      <c r="K219">
        <v>1.1296882060551299E-2</v>
      </c>
      <c r="L219">
        <v>1</v>
      </c>
      <c r="M219">
        <v>62</v>
      </c>
      <c r="N219">
        <v>9.3800000000000008</v>
      </c>
      <c r="O219">
        <v>6.6098081023454203</v>
      </c>
      <c r="P219">
        <v>1.2043584286301999E-3</v>
      </c>
    </row>
    <row r="220" spans="1:16" x14ac:dyDescent="0.2">
      <c r="A220" t="s">
        <v>16</v>
      </c>
      <c r="B220" t="s">
        <v>25</v>
      </c>
      <c r="C220">
        <v>2</v>
      </c>
      <c r="D220">
        <v>25</v>
      </c>
      <c r="E220">
        <v>2</v>
      </c>
      <c r="F220">
        <v>25</v>
      </c>
      <c r="G220" t="s">
        <v>23</v>
      </c>
      <c r="H220" t="s">
        <v>19</v>
      </c>
      <c r="I220">
        <v>11.96</v>
      </c>
      <c r="J220">
        <v>12.5</v>
      </c>
      <c r="K220">
        <v>7.9814759352394501E-3</v>
      </c>
      <c r="L220">
        <v>0.314</v>
      </c>
      <c r="M220">
        <v>4.452</v>
      </c>
      <c r="N220">
        <v>24.46</v>
      </c>
      <c r="O220">
        <v>0.18201144726083399</v>
      </c>
      <c r="P220">
        <v>3.2630727453963399E-4</v>
      </c>
    </row>
    <row r="221" spans="1:16" x14ac:dyDescent="0.2">
      <c r="A221" t="s">
        <v>16</v>
      </c>
      <c r="B221" t="s">
        <v>25</v>
      </c>
      <c r="C221">
        <v>2</v>
      </c>
      <c r="D221">
        <v>25</v>
      </c>
      <c r="E221">
        <v>2</v>
      </c>
      <c r="F221">
        <v>25</v>
      </c>
      <c r="G221" t="s">
        <v>23</v>
      </c>
      <c r="H221" t="s">
        <v>22</v>
      </c>
      <c r="I221">
        <v>12.5</v>
      </c>
      <c r="J221">
        <v>12.5</v>
      </c>
      <c r="K221">
        <v>3.45041750051756E-3</v>
      </c>
      <c r="L221">
        <v>0</v>
      </c>
      <c r="M221">
        <v>0</v>
      </c>
      <c r="N221">
        <v>25</v>
      </c>
      <c r="O221">
        <v>0</v>
      </c>
      <c r="P221">
        <v>1.38016700020703E-4</v>
      </c>
    </row>
    <row r="222" spans="1:16" x14ac:dyDescent="0.2">
      <c r="A222" t="s">
        <v>16</v>
      </c>
      <c r="B222" t="s">
        <v>25</v>
      </c>
      <c r="C222">
        <v>2</v>
      </c>
      <c r="D222">
        <v>37</v>
      </c>
      <c r="E222">
        <v>2</v>
      </c>
      <c r="F222">
        <v>37</v>
      </c>
      <c r="G222" t="s">
        <v>18</v>
      </c>
      <c r="H222" t="s">
        <v>19</v>
      </c>
      <c r="I222">
        <v>4.0999999999999996</v>
      </c>
      <c r="J222">
        <v>4.08</v>
      </c>
      <c r="K222">
        <v>1.09466941376392E-2</v>
      </c>
      <c r="L222">
        <v>1</v>
      </c>
      <c r="M222">
        <v>77.900000000000006</v>
      </c>
      <c r="N222">
        <v>8.18</v>
      </c>
      <c r="O222">
        <v>9.5232273838630803</v>
      </c>
      <c r="P222">
        <v>1.33822666719305E-3</v>
      </c>
    </row>
    <row r="223" spans="1:16" x14ac:dyDescent="0.2">
      <c r="A223" t="s">
        <v>16</v>
      </c>
      <c r="B223" t="s">
        <v>25</v>
      </c>
      <c r="C223">
        <v>2</v>
      </c>
      <c r="D223">
        <v>37</v>
      </c>
      <c r="E223">
        <v>2</v>
      </c>
      <c r="F223">
        <v>37</v>
      </c>
      <c r="G223" t="s">
        <v>18</v>
      </c>
      <c r="H223" t="s">
        <v>22</v>
      </c>
      <c r="I223">
        <v>4.8600000000000003</v>
      </c>
      <c r="J223">
        <v>4.82</v>
      </c>
      <c r="K223">
        <v>1.09265734265734E-2</v>
      </c>
      <c r="L223">
        <v>1</v>
      </c>
      <c r="M223">
        <v>74</v>
      </c>
      <c r="N223">
        <v>9.68</v>
      </c>
      <c r="O223">
        <v>7.6446280991735502</v>
      </c>
      <c r="P223">
        <v>1.12877824654684E-3</v>
      </c>
    </row>
    <row r="224" spans="1:16" x14ac:dyDescent="0.2">
      <c r="A224" t="s">
        <v>16</v>
      </c>
      <c r="B224" t="s">
        <v>25</v>
      </c>
      <c r="C224">
        <v>2</v>
      </c>
      <c r="D224">
        <v>37</v>
      </c>
      <c r="E224">
        <v>2</v>
      </c>
      <c r="F224">
        <v>37</v>
      </c>
      <c r="G224" t="s">
        <v>23</v>
      </c>
      <c r="H224" t="s">
        <v>19</v>
      </c>
      <c r="I224">
        <v>8.7200000000000006</v>
      </c>
      <c r="J224">
        <v>9.36</v>
      </c>
      <c r="K224">
        <v>1.02916257587861E-2</v>
      </c>
      <c r="L224">
        <v>1</v>
      </c>
      <c r="M224">
        <v>53.008000000000003</v>
      </c>
      <c r="N224">
        <v>18.079999999999998</v>
      </c>
      <c r="O224">
        <v>2.9318584070796501</v>
      </c>
      <c r="P224">
        <v>5.6922708842843195E-4</v>
      </c>
    </row>
    <row r="225" spans="1:16" x14ac:dyDescent="0.2">
      <c r="A225" t="s">
        <v>16</v>
      </c>
      <c r="B225" t="s">
        <v>25</v>
      </c>
      <c r="C225">
        <v>2</v>
      </c>
      <c r="D225">
        <v>37</v>
      </c>
      <c r="E225">
        <v>2</v>
      </c>
      <c r="F225">
        <v>37</v>
      </c>
      <c r="G225" t="s">
        <v>23</v>
      </c>
      <c r="H225" t="s">
        <v>22</v>
      </c>
      <c r="I225">
        <v>18.5</v>
      </c>
      <c r="J225">
        <v>18.5</v>
      </c>
      <c r="K225">
        <v>4.1953347877160601E-3</v>
      </c>
      <c r="L225">
        <v>0</v>
      </c>
      <c r="M225">
        <v>0</v>
      </c>
      <c r="N225">
        <v>37</v>
      </c>
      <c r="O225">
        <v>0</v>
      </c>
      <c r="P225">
        <v>1.13387426695029E-4</v>
      </c>
    </row>
    <row r="226" spans="1:16" x14ac:dyDescent="0.2">
      <c r="A226" t="s">
        <v>16</v>
      </c>
      <c r="B226" t="s">
        <v>25</v>
      </c>
      <c r="C226">
        <v>2</v>
      </c>
      <c r="D226">
        <v>50</v>
      </c>
      <c r="E226">
        <v>2</v>
      </c>
      <c r="F226">
        <v>50</v>
      </c>
      <c r="G226" t="s">
        <v>18</v>
      </c>
      <c r="H226" t="s">
        <v>19</v>
      </c>
      <c r="I226">
        <v>4.3600000000000003</v>
      </c>
      <c r="J226">
        <v>4.38</v>
      </c>
      <c r="K226">
        <v>1.0796038179725799E-2</v>
      </c>
      <c r="L226">
        <v>1</v>
      </c>
      <c r="M226">
        <v>82.087999999999994</v>
      </c>
      <c r="N226">
        <v>8.74</v>
      </c>
      <c r="O226">
        <v>9.3922196796338699</v>
      </c>
      <c r="P226">
        <v>1.2352446429892299E-3</v>
      </c>
    </row>
    <row r="227" spans="1:16" x14ac:dyDescent="0.2">
      <c r="A227" t="s">
        <v>16</v>
      </c>
      <c r="B227" t="s">
        <v>25</v>
      </c>
      <c r="C227">
        <v>2</v>
      </c>
      <c r="D227">
        <v>50</v>
      </c>
      <c r="E227">
        <v>2</v>
      </c>
      <c r="F227">
        <v>50</v>
      </c>
      <c r="G227" t="s">
        <v>18</v>
      </c>
      <c r="H227" t="s">
        <v>22</v>
      </c>
      <c r="I227">
        <v>4.9800000000000004</v>
      </c>
      <c r="J227">
        <v>4.8600000000000003</v>
      </c>
      <c r="K227">
        <v>1.07573149741824E-2</v>
      </c>
      <c r="L227">
        <v>1</v>
      </c>
      <c r="M227">
        <v>82</v>
      </c>
      <c r="N227">
        <v>9.84</v>
      </c>
      <c r="O227">
        <v>8.3333333333333304</v>
      </c>
      <c r="P227">
        <v>1.0932230664819601E-3</v>
      </c>
    </row>
    <row r="228" spans="1:16" x14ac:dyDescent="0.2">
      <c r="A228" t="s">
        <v>16</v>
      </c>
      <c r="B228" t="s">
        <v>25</v>
      </c>
      <c r="C228">
        <v>2</v>
      </c>
      <c r="D228">
        <v>50</v>
      </c>
      <c r="E228">
        <v>2</v>
      </c>
      <c r="F228">
        <v>50</v>
      </c>
      <c r="G228" t="s">
        <v>23</v>
      </c>
      <c r="H228" t="s">
        <v>19</v>
      </c>
      <c r="I228">
        <v>7.24</v>
      </c>
      <c r="J228">
        <v>6.4</v>
      </c>
      <c r="K228">
        <v>1.05317896423345E-2</v>
      </c>
      <c r="L228">
        <v>1</v>
      </c>
      <c r="M228">
        <v>71.152000000000001</v>
      </c>
      <c r="N228">
        <v>13.64</v>
      </c>
      <c r="O228">
        <v>5.2164222873900297</v>
      </c>
      <c r="P228">
        <v>7.7212534034710697E-4</v>
      </c>
    </row>
    <row r="229" spans="1:16" x14ac:dyDescent="0.2">
      <c r="A229" t="s">
        <v>16</v>
      </c>
      <c r="B229" t="s">
        <v>25</v>
      </c>
      <c r="C229">
        <v>2</v>
      </c>
      <c r="D229">
        <v>50</v>
      </c>
      <c r="E229">
        <v>2</v>
      </c>
      <c r="F229">
        <v>50</v>
      </c>
      <c r="G229" t="s">
        <v>23</v>
      </c>
      <c r="H229" t="s">
        <v>22</v>
      </c>
      <c r="I229">
        <v>12.66</v>
      </c>
      <c r="J229">
        <v>12.42</v>
      </c>
      <c r="K229">
        <v>9.7599063048994707E-3</v>
      </c>
      <c r="L229">
        <v>1</v>
      </c>
      <c r="M229">
        <v>50</v>
      </c>
      <c r="N229">
        <v>25.08</v>
      </c>
      <c r="O229">
        <v>1.9936204146730501</v>
      </c>
      <c r="P229">
        <v>3.8915096909487498E-4</v>
      </c>
    </row>
    <row r="230" spans="1:16" x14ac:dyDescent="0.2">
      <c r="A230" t="s">
        <v>16</v>
      </c>
      <c r="B230" t="s">
        <v>25</v>
      </c>
      <c r="C230">
        <v>5</v>
      </c>
      <c r="D230">
        <v>12</v>
      </c>
      <c r="E230">
        <v>5</v>
      </c>
      <c r="F230">
        <v>12</v>
      </c>
      <c r="G230" t="s">
        <v>18</v>
      </c>
      <c r="H230" t="s">
        <v>19</v>
      </c>
      <c r="I230">
        <v>1.88</v>
      </c>
      <c r="J230">
        <v>1.94</v>
      </c>
      <c r="K230">
        <v>1.37032712861222E-2</v>
      </c>
      <c r="L230">
        <v>1</v>
      </c>
      <c r="M230">
        <v>25.96</v>
      </c>
      <c r="N230">
        <v>3.82</v>
      </c>
      <c r="O230">
        <v>6.7958115183246104</v>
      </c>
      <c r="P230">
        <v>3.5872437921785801E-3</v>
      </c>
    </row>
    <row r="231" spans="1:16" x14ac:dyDescent="0.2">
      <c r="A231" t="s">
        <v>16</v>
      </c>
      <c r="B231" t="s">
        <v>25</v>
      </c>
      <c r="C231">
        <v>5</v>
      </c>
      <c r="D231">
        <v>12</v>
      </c>
      <c r="E231">
        <v>5</v>
      </c>
      <c r="F231">
        <v>12</v>
      </c>
      <c r="G231" t="s">
        <v>18</v>
      </c>
      <c r="H231" t="s">
        <v>22</v>
      </c>
      <c r="I231">
        <v>2.4</v>
      </c>
      <c r="J231">
        <v>2.4</v>
      </c>
      <c r="K231">
        <v>1.48060408646728E-2</v>
      </c>
      <c r="L231">
        <v>0</v>
      </c>
      <c r="M231">
        <v>0</v>
      </c>
      <c r="N231">
        <v>4.8</v>
      </c>
      <c r="O231">
        <v>0</v>
      </c>
      <c r="P231">
        <v>3.0845918468068302E-3</v>
      </c>
    </row>
    <row r="232" spans="1:16" x14ac:dyDescent="0.2">
      <c r="A232" t="s">
        <v>16</v>
      </c>
      <c r="B232" t="s">
        <v>25</v>
      </c>
      <c r="C232">
        <v>5</v>
      </c>
      <c r="D232">
        <v>12</v>
      </c>
      <c r="E232">
        <v>5</v>
      </c>
      <c r="F232">
        <v>12</v>
      </c>
      <c r="G232" t="s">
        <v>23</v>
      </c>
      <c r="H232" t="s">
        <v>19</v>
      </c>
      <c r="I232">
        <v>2.4</v>
      </c>
      <c r="J232">
        <v>2.4</v>
      </c>
      <c r="K232">
        <v>3.7601986522850599E-3</v>
      </c>
      <c r="L232">
        <v>0</v>
      </c>
      <c r="M232">
        <v>0</v>
      </c>
      <c r="N232">
        <v>4.8</v>
      </c>
      <c r="O232">
        <v>0</v>
      </c>
      <c r="P232">
        <v>7.83374719226055E-4</v>
      </c>
    </row>
    <row r="233" spans="1:16" x14ac:dyDescent="0.2">
      <c r="A233" t="s">
        <v>16</v>
      </c>
      <c r="B233" t="s">
        <v>25</v>
      </c>
      <c r="C233">
        <v>5</v>
      </c>
      <c r="D233">
        <v>12</v>
      </c>
      <c r="E233">
        <v>5</v>
      </c>
      <c r="F233">
        <v>12</v>
      </c>
      <c r="G233" t="s">
        <v>23</v>
      </c>
      <c r="H233" t="s">
        <v>22</v>
      </c>
      <c r="I233">
        <v>2.4</v>
      </c>
      <c r="J233">
        <v>2.4</v>
      </c>
      <c r="K233">
        <v>2.9486347820958901E-3</v>
      </c>
      <c r="L233">
        <v>0</v>
      </c>
      <c r="M233">
        <v>0</v>
      </c>
      <c r="N233">
        <v>4.8</v>
      </c>
      <c r="O233">
        <v>0</v>
      </c>
      <c r="P233">
        <v>6.1429891293664403E-4</v>
      </c>
    </row>
    <row r="234" spans="1:16" x14ac:dyDescent="0.2">
      <c r="A234" t="s">
        <v>16</v>
      </c>
      <c r="B234" t="s">
        <v>25</v>
      </c>
      <c r="C234">
        <v>5</v>
      </c>
      <c r="D234">
        <v>25</v>
      </c>
      <c r="E234">
        <v>5</v>
      </c>
      <c r="F234">
        <v>25</v>
      </c>
      <c r="G234" t="s">
        <v>18</v>
      </c>
      <c r="H234" t="s">
        <v>19</v>
      </c>
      <c r="I234">
        <v>2.76</v>
      </c>
      <c r="J234">
        <v>2.66</v>
      </c>
      <c r="K234">
        <v>1.24050990299825E-2</v>
      </c>
      <c r="L234">
        <v>1</v>
      </c>
      <c r="M234">
        <v>47.892000000000003</v>
      </c>
      <c r="N234">
        <v>5.42</v>
      </c>
      <c r="O234">
        <v>8.8361623616236198</v>
      </c>
      <c r="P234">
        <v>2.28876365866836E-3</v>
      </c>
    </row>
    <row r="235" spans="1:16" x14ac:dyDescent="0.2">
      <c r="A235" t="s">
        <v>16</v>
      </c>
      <c r="B235" t="s">
        <v>25</v>
      </c>
      <c r="C235">
        <v>5</v>
      </c>
      <c r="D235">
        <v>25</v>
      </c>
      <c r="E235">
        <v>5</v>
      </c>
      <c r="F235">
        <v>25</v>
      </c>
      <c r="G235" t="s">
        <v>18</v>
      </c>
      <c r="H235" t="s">
        <v>22</v>
      </c>
      <c r="I235">
        <v>4.0599999999999996</v>
      </c>
      <c r="J235">
        <v>4.0599999999999996</v>
      </c>
      <c r="K235">
        <v>1.31821776957553E-2</v>
      </c>
      <c r="L235">
        <v>1</v>
      </c>
      <c r="M235">
        <v>18</v>
      </c>
      <c r="N235">
        <v>8.1199999999999992</v>
      </c>
      <c r="O235">
        <v>2.2167487684729101</v>
      </c>
      <c r="P235">
        <v>1.6234208984920401E-3</v>
      </c>
    </row>
    <row r="236" spans="1:16" x14ac:dyDescent="0.2">
      <c r="A236" t="s">
        <v>16</v>
      </c>
      <c r="B236" t="s">
        <v>25</v>
      </c>
      <c r="C236">
        <v>5</v>
      </c>
      <c r="D236">
        <v>25</v>
      </c>
      <c r="E236">
        <v>5</v>
      </c>
      <c r="F236">
        <v>25</v>
      </c>
      <c r="G236" t="s">
        <v>23</v>
      </c>
      <c r="H236" t="s">
        <v>19</v>
      </c>
      <c r="I236">
        <v>5</v>
      </c>
      <c r="J236">
        <v>5</v>
      </c>
      <c r="K236">
        <v>4.0603308017600204E-3</v>
      </c>
      <c r="L236">
        <v>0</v>
      </c>
      <c r="M236">
        <v>0</v>
      </c>
      <c r="N236">
        <v>10</v>
      </c>
      <c r="O236">
        <v>0</v>
      </c>
      <c r="P236">
        <v>4.0603308017600199E-4</v>
      </c>
    </row>
    <row r="237" spans="1:16" x14ac:dyDescent="0.2">
      <c r="A237" t="s">
        <v>16</v>
      </c>
      <c r="B237" t="s">
        <v>25</v>
      </c>
      <c r="C237">
        <v>5</v>
      </c>
      <c r="D237">
        <v>25</v>
      </c>
      <c r="E237">
        <v>5</v>
      </c>
      <c r="F237">
        <v>25</v>
      </c>
      <c r="G237" t="s">
        <v>23</v>
      </c>
      <c r="H237" t="s">
        <v>22</v>
      </c>
      <c r="I237">
        <v>5</v>
      </c>
      <c r="J237">
        <v>5</v>
      </c>
      <c r="K237">
        <v>3.06297476108797E-3</v>
      </c>
      <c r="L237">
        <v>0</v>
      </c>
      <c r="M237">
        <v>0</v>
      </c>
      <c r="N237">
        <v>10</v>
      </c>
      <c r="O237">
        <v>0</v>
      </c>
      <c r="P237">
        <v>3.06297476108797E-4</v>
      </c>
    </row>
    <row r="238" spans="1:16" x14ac:dyDescent="0.2">
      <c r="A238" t="s">
        <v>16</v>
      </c>
      <c r="B238" t="s">
        <v>25</v>
      </c>
      <c r="C238">
        <v>5</v>
      </c>
      <c r="D238">
        <v>37</v>
      </c>
      <c r="E238">
        <v>5</v>
      </c>
      <c r="F238">
        <v>37</v>
      </c>
      <c r="G238" t="s">
        <v>18</v>
      </c>
      <c r="H238" t="s">
        <v>19</v>
      </c>
      <c r="I238">
        <v>3.26</v>
      </c>
      <c r="J238">
        <v>3.28</v>
      </c>
      <c r="K238">
        <v>1.1829265327981901E-2</v>
      </c>
      <c r="L238">
        <v>1</v>
      </c>
      <c r="M238">
        <v>58.164000000000001</v>
      </c>
      <c r="N238">
        <v>6.54</v>
      </c>
      <c r="O238">
        <v>8.8935779816513794</v>
      </c>
      <c r="P238">
        <v>1.80875616635809E-3</v>
      </c>
    </row>
    <row r="239" spans="1:16" x14ac:dyDescent="0.2">
      <c r="A239" t="s">
        <v>16</v>
      </c>
      <c r="B239" t="s">
        <v>25</v>
      </c>
      <c r="C239">
        <v>5</v>
      </c>
      <c r="D239">
        <v>37</v>
      </c>
      <c r="E239">
        <v>5</v>
      </c>
      <c r="F239">
        <v>37</v>
      </c>
      <c r="G239" t="s">
        <v>18</v>
      </c>
      <c r="H239" t="s">
        <v>22</v>
      </c>
      <c r="I239">
        <v>4.4400000000000004</v>
      </c>
      <c r="J239">
        <v>4.34</v>
      </c>
      <c r="K239">
        <v>1.21388686574411E-2</v>
      </c>
      <c r="L239">
        <v>1</v>
      </c>
      <c r="M239">
        <v>48</v>
      </c>
      <c r="N239">
        <v>8.7799999999999994</v>
      </c>
      <c r="O239">
        <v>5.4669703872437303</v>
      </c>
      <c r="P239">
        <v>1.3825590726014899E-3</v>
      </c>
    </row>
    <row r="240" spans="1:16" x14ac:dyDescent="0.2">
      <c r="A240" t="s">
        <v>16</v>
      </c>
      <c r="B240" t="s">
        <v>25</v>
      </c>
      <c r="C240">
        <v>5</v>
      </c>
      <c r="D240">
        <v>37</v>
      </c>
      <c r="E240">
        <v>5</v>
      </c>
      <c r="F240">
        <v>37</v>
      </c>
      <c r="G240" t="s">
        <v>23</v>
      </c>
      <c r="H240" t="s">
        <v>19</v>
      </c>
      <c r="I240">
        <v>7.4</v>
      </c>
      <c r="J240">
        <v>7.4</v>
      </c>
      <c r="K240">
        <v>4.5120233882334302E-3</v>
      </c>
      <c r="L240">
        <v>0</v>
      </c>
      <c r="M240">
        <v>0</v>
      </c>
      <c r="N240">
        <v>14.8</v>
      </c>
      <c r="O240">
        <v>0</v>
      </c>
      <c r="P240">
        <v>3.0486644515090799E-4</v>
      </c>
    </row>
    <row r="241" spans="1:16" x14ac:dyDescent="0.2">
      <c r="A241" t="s">
        <v>16</v>
      </c>
      <c r="B241" t="s">
        <v>25</v>
      </c>
      <c r="C241">
        <v>5</v>
      </c>
      <c r="D241">
        <v>37</v>
      </c>
      <c r="E241">
        <v>5</v>
      </c>
      <c r="F241">
        <v>37</v>
      </c>
      <c r="G241" t="s">
        <v>23</v>
      </c>
      <c r="H241" t="s">
        <v>22</v>
      </c>
      <c r="I241">
        <v>7.4</v>
      </c>
      <c r="J241">
        <v>7.4</v>
      </c>
      <c r="K241">
        <v>3.1867431485022302E-3</v>
      </c>
      <c r="L241">
        <v>0</v>
      </c>
      <c r="M241">
        <v>0</v>
      </c>
      <c r="N241">
        <v>14.8</v>
      </c>
      <c r="O241">
        <v>0</v>
      </c>
      <c r="P241">
        <v>2.15320483006907E-4</v>
      </c>
    </row>
    <row r="242" spans="1:16" x14ac:dyDescent="0.2">
      <c r="A242" t="s">
        <v>16</v>
      </c>
      <c r="B242" t="s">
        <v>25</v>
      </c>
      <c r="C242">
        <v>5</v>
      </c>
      <c r="D242">
        <v>50</v>
      </c>
      <c r="E242">
        <v>5</v>
      </c>
      <c r="F242">
        <v>50</v>
      </c>
      <c r="G242" t="s">
        <v>18</v>
      </c>
      <c r="H242" t="s">
        <v>19</v>
      </c>
      <c r="I242">
        <v>3.64</v>
      </c>
      <c r="J242">
        <v>3.64</v>
      </c>
      <c r="K242">
        <v>1.15245645343487E-2</v>
      </c>
      <c r="L242">
        <v>1</v>
      </c>
      <c r="M242">
        <v>67.867999999999995</v>
      </c>
      <c r="N242">
        <v>7.28</v>
      </c>
      <c r="O242">
        <v>9.3225274725274705</v>
      </c>
      <c r="P242">
        <v>1.5830445788940601E-3</v>
      </c>
    </row>
    <row r="243" spans="1:16" x14ac:dyDescent="0.2">
      <c r="A243" t="s">
        <v>16</v>
      </c>
      <c r="B243" t="s">
        <v>25</v>
      </c>
      <c r="C243">
        <v>5</v>
      </c>
      <c r="D243">
        <v>50</v>
      </c>
      <c r="E243">
        <v>5</v>
      </c>
      <c r="F243">
        <v>50</v>
      </c>
      <c r="G243" t="s">
        <v>18</v>
      </c>
      <c r="H243" t="s">
        <v>22</v>
      </c>
      <c r="I243">
        <v>4.68</v>
      </c>
      <c r="J243">
        <v>4.58</v>
      </c>
      <c r="K243">
        <v>1.1786892975011801E-2</v>
      </c>
      <c r="L243">
        <v>1</v>
      </c>
      <c r="M243">
        <v>58</v>
      </c>
      <c r="N243">
        <v>9.26</v>
      </c>
      <c r="O243">
        <v>6.2634989200863904</v>
      </c>
      <c r="P243">
        <v>1.2728826106924199E-3</v>
      </c>
    </row>
    <row r="244" spans="1:16" x14ac:dyDescent="0.2">
      <c r="A244" t="s">
        <v>16</v>
      </c>
      <c r="B244" t="s">
        <v>25</v>
      </c>
      <c r="C244">
        <v>5</v>
      </c>
      <c r="D244">
        <v>50</v>
      </c>
      <c r="E244">
        <v>5</v>
      </c>
      <c r="F244">
        <v>50</v>
      </c>
      <c r="G244" t="s">
        <v>23</v>
      </c>
      <c r="H244" t="s">
        <v>19</v>
      </c>
      <c r="I244">
        <v>10</v>
      </c>
      <c r="J244">
        <v>10</v>
      </c>
      <c r="K244">
        <v>5.6756753122929899E-3</v>
      </c>
      <c r="L244">
        <v>4.0000000000000001E-3</v>
      </c>
      <c r="M244">
        <v>5.1999999999999998E-2</v>
      </c>
      <c r="N244">
        <v>20</v>
      </c>
      <c r="O244">
        <v>2.5999999999999999E-3</v>
      </c>
      <c r="P244">
        <v>2.8378376561464998E-4</v>
      </c>
    </row>
    <row r="245" spans="1:16" x14ac:dyDescent="0.2">
      <c r="A245" t="s">
        <v>16</v>
      </c>
      <c r="B245" t="s">
        <v>25</v>
      </c>
      <c r="C245">
        <v>5</v>
      </c>
      <c r="D245">
        <v>50</v>
      </c>
      <c r="E245">
        <v>5</v>
      </c>
      <c r="F245">
        <v>50</v>
      </c>
      <c r="G245" t="s">
        <v>23</v>
      </c>
      <c r="H245" t="s">
        <v>22</v>
      </c>
      <c r="I245">
        <v>10</v>
      </c>
      <c r="J245">
        <v>10</v>
      </c>
      <c r="K245">
        <v>3.3453766894152299E-3</v>
      </c>
      <c r="L245">
        <v>0</v>
      </c>
      <c r="M245">
        <v>0</v>
      </c>
      <c r="N245">
        <v>20</v>
      </c>
      <c r="O245">
        <v>0</v>
      </c>
      <c r="P245">
        <v>1.67268834470761E-4</v>
      </c>
    </row>
    <row r="246" spans="1:16" x14ac:dyDescent="0.2">
      <c r="A246" t="s">
        <v>26</v>
      </c>
      <c r="B246" t="s">
        <v>17</v>
      </c>
      <c r="C246">
        <v>0</v>
      </c>
      <c r="D246">
        <v>0</v>
      </c>
      <c r="E246">
        <v>0</v>
      </c>
      <c r="F246">
        <v>0</v>
      </c>
      <c r="G246" t="s">
        <v>18</v>
      </c>
      <c r="H246" t="s">
        <v>19</v>
      </c>
      <c r="I246">
        <v>0</v>
      </c>
      <c r="J246">
        <v>0</v>
      </c>
      <c r="K246">
        <v>1.55914669464266E-2</v>
      </c>
      <c r="L246">
        <v>0.998</v>
      </c>
      <c r="M246">
        <v>18.440000000000001</v>
      </c>
      <c r="N246">
        <v>0</v>
      </c>
      <c r="O246" t="s">
        <v>21</v>
      </c>
      <c r="P246" t="s">
        <v>21</v>
      </c>
    </row>
    <row r="247" spans="1:16" x14ac:dyDescent="0.2">
      <c r="A247" t="s">
        <v>26</v>
      </c>
      <c r="B247" t="s">
        <v>17</v>
      </c>
      <c r="C247">
        <v>0</v>
      </c>
      <c r="D247">
        <v>0</v>
      </c>
      <c r="E247">
        <v>0</v>
      </c>
      <c r="F247">
        <v>0</v>
      </c>
      <c r="G247" t="s">
        <v>18</v>
      </c>
      <c r="H247" t="s">
        <v>22</v>
      </c>
      <c r="I247">
        <v>0</v>
      </c>
      <c r="J247">
        <v>0</v>
      </c>
      <c r="K247">
        <v>0.217391304347826</v>
      </c>
      <c r="L247">
        <v>0</v>
      </c>
      <c r="M247">
        <v>0</v>
      </c>
      <c r="N247">
        <v>0</v>
      </c>
      <c r="O247" t="s">
        <v>20</v>
      </c>
      <c r="P247" t="s">
        <v>21</v>
      </c>
    </row>
    <row r="248" spans="1:16" x14ac:dyDescent="0.2">
      <c r="A248" t="s">
        <v>26</v>
      </c>
      <c r="B248" t="s">
        <v>17</v>
      </c>
      <c r="C248">
        <v>0</v>
      </c>
      <c r="D248">
        <v>0</v>
      </c>
      <c r="E248">
        <v>0</v>
      </c>
      <c r="F248">
        <v>0</v>
      </c>
      <c r="G248" t="s">
        <v>23</v>
      </c>
      <c r="H248" t="s">
        <v>19</v>
      </c>
      <c r="I248">
        <v>0</v>
      </c>
      <c r="J248">
        <v>0</v>
      </c>
      <c r="K248">
        <v>5.2556016996691303E-3</v>
      </c>
      <c r="L248">
        <v>0</v>
      </c>
      <c r="M248">
        <v>0</v>
      </c>
      <c r="N248">
        <v>0</v>
      </c>
      <c r="O248" t="s">
        <v>20</v>
      </c>
      <c r="P248" t="s">
        <v>21</v>
      </c>
    </row>
    <row r="249" spans="1:16" x14ac:dyDescent="0.2">
      <c r="A249" t="s">
        <v>26</v>
      </c>
      <c r="B249" t="s">
        <v>17</v>
      </c>
      <c r="C249">
        <v>0</v>
      </c>
      <c r="D249">
        <v>0</v>
      </c>
      <c r="E249">
        <v>0</v>
      </c>
      <c r="F249">
        <v>0</v>
      </c>
      <c r="G249" t="s">
        <v>23</v>
      </c>
      <c r="H249" t="s">
        <v>22</v>
      </c>
      <c r="I249">
        <v>0</v>
      </c>
      <c r="J249">
        <v>0</v>
      </c>
      <c r="K249">
        <v>3.5604927721996698E-3</v>
      </c>
      <c r="L249">
        <v>0</v>
      </c>
      <c r="M249">
        <v>0</v>
      </c>
      <c r="N249">
        <v>0</v>
      </c>
      <c r="O249" t="s">
        <v>20</v>
      </c>
      <c r="P249" t="s">
        <v>21</v>
      </c>
    </row>
    <row r="250" spans="1:16" x14ac:dyDescent="0.2">
      <c r="A250" t="s">
        <v>26</v>
      </c>
      <c r="B250" t="s">
        <v>24</v>
      </c>
      <c r="C250">
        <v>1</v>
      </c>
      <c r="D250">
        <v>25</v>
      </c>
      <c r="E250">
        <v>0</v>
      </c>
      <c r="F250">
        <v>0</v>
      </c>
      <c r="G250" t="s">
        <v>18</v>
      </c>
      <c r="H250" t="s">
        <v>19</v>
      </c>
      <c r="I250">
        <v>1.42</v>
      </c>
      <c r="J250">
        <v>0</v>
      </c>
      <c r="K250">
        <v>1.09797775620724E-2</v>
      </c>
      <c r="L250">
        <v>1</v>
      </c>
      <c r="M250">
        <v>90.7</v>
      </c>
      <c r="N250">
        <v>1.42</v>
      </c>
      <c r="O250">
        <v>63.873239436619698</v>
      </c>
      <c r="P250">
        <v>7.7322377197693096E-3</v>
      </c>
    </row>
    <row r="251" spans="1:16" x14ac:dyDescent="0.2">
      <c r="A251" t="s">
        <v>26</v>
      </c>
      <c r="B251" t="s">
        <v>24</v>
      </c>
      <c r="C251">
        <v>1</v>
      </c>
      <c r="D251">
        <v>25</v>
      </c>
      <c r="E251">
        <v>0</v>
      </c>
      <c r="F251">
        <v>0</v>
      </c>
      <c r="G251" t="s">
        <v>18</v>
      </c>
      <c r="H251" t="s">
        <v>22</v>
      </c>
      <c r="I251">
        <v>1.58</v>
      </c>
      <c r="J251">
        <v>0</v>
      </c>
      <c r="K251">
        <v>1.10326566637246E-2</v>
      </c>
      <c r="L251">
        <v>1</v>
      </c>
      <c r="M251">
        <v>90</v>
      </c>
      <c r="N251">
        <v>1.58</v>
      </c>
      <c r="O251">
        <v>56.962025316455701</v>
      </c>
      <c r="P251">
        <v>6.9826940909649502E-3</v>
      </c>
    </row>
    <row r="252" spans="1:16" x14ac:dyDescent="0.2">
      <c r="A252" t="s">
        <v>26</v>
      </c>
      <c r="B252" t="s">
        <v>24</v>
      </c>
      <c r="C252">
        <v>1</v>
      </c>
      <c r="D252">
        <v>25</v>
      </c>
      <c r="E252">
        <v>0</v>
      </c>
      <c r="F252">
        <v>0</v>
      </c>
      <c r="G252" t="s">
        <v>23</v>
      </c>
      <c r="H252" t="s">
        <v>19</v>
      </c>
      <c r="I252">
        <v>1.92</v>
      </c>
      <c r="J252">
        <v>0</v>
      </c>
      <c r="K252">
        <v>1.11604260678057E-2</v>
      </c>
      <c r="L252">
        <v>1</v>
      </c>
      <c r="M252">
        <v>88.091999999999999</v>
      </c>
      <c r="N252">
        <v>1.92</v>
      </c>
      <c r="O252">
        <v>45.881250000000001</v>
      </c>
      <c r="P252">
        <v>5.8127219103154904E-3</v>
      </c>
    </row>
    <row r="253" spans="1:16" x14ac:dyDescent="0.2">
      <c r="A253" t="s">
        <v>26</v>
      </c>
      <c r="B253" t="s">
        <v>24</v>
      </c>
      <c r="C253">
        <v>1</v>
      </c>
      <c r="D253">
        <v>25</v>
      </c>
      <c r="E253">
        <v>0</v>
      </c>
      <c r="F253">
        <v>0</v>
      </c>
      <c r="G253" t="s">
        <v>23</v>
      </c>
      <c r="H253" t="s">
        <v>22</v>
      </c>
      <c r="I253">
        <v>2.1800000000000002</v>
      </c>
      <c r="J253">
        <v>0</v>
      </c>
      <c r="K253">
        <v>1.12384805574286E-2</v>
      </c>
      <c r="L253">
        <v>1</v>
      </c>
      <c r="M253">
        <v>88</v>
      </c>
      <c r="N253">
        <v>2.1800000000000002</v>
      </c>
      <c r="O253">
        <v>40.366972477064202</v>
      </c>
      <c r="P253">
        <v>5.1552663107470803E-3</v>
      </c>
    </row>
    <row r="254" spans="1:16" x14ac:dyDescent="0.2">
      <c r="A254" t="s">
        <v>26</v>
      </c>
      <c r="B254" t="s">
        <v>24</v>
      </c>
      <c r="C254">
        <v>1</v>
      </c>
      <c r="D254">
        <v>50</v>
      </c>
      <c r="E254">
        <v>0</v>
      </c>
      <c r="F254">
        <v>0</v>
      </c>
      <c r="G254" t="s">
        <v>18</v>
      </c>
      <c r="H254" t="s">
        <v>19</v>
      </c>
      <c r="I254">
        <v>1.46</v>
      </c>
      <c r="J254">
        <v>0</v>
      </c>
      <c r="K254">
        <v>1.08485398377946E-2</v>
      </c>
      <c r="L254">
        <v>1</v>
      </c>
      <c r="M254">
        <v>92.512</v>
      </c>
      <c r="N254">
        <v>1.46</v>
      </c>
      <c r="O254">
        <v>63.364383561643798</v>
      </c>
      <c r="P254">
        <v>7.43050673821546E-3</v>
      </c>
    </row>
    <row r="255" spans="1:16" x14ac:dyDescent="0.2">
      <c r="A255" t="s">
        <v>26</v>
      </c>
      <c r="B255" t="s">
        <v>24</v>
      </c>
      <c r="C255">
        <v>1</v>
      </c>
      <c r="D255">
        <v>50</v>
      </c>
      <c r="E255">
        <v>0</v>
      </c>
      <c r="F255">
        <v>0</v>
      </c>
      <c r="G255" t="s">
        <v>18</v>
      </c>
      <c r="H255" t="s">
        <v>22</v>
      </c>
      <c r="I255">
        <v>1.6</v>
      </c>
      <c r="J255">
        <v>0</v>
      </c>
      <c r="K255">
        <v>1.0883761427949499E-2</v>
      </c>
      <c r="L255">
        <v>1</v>
      </c>
      <c r="M255">
        <v>92</v>
      </c>
      <c r="N255">
        <v>1.6</v>
      </c>
      <c r="O255">
        <v>57.5</v>
      </c>
      <c r="P255">
        <v>6.8023508924684398E-3</v>
      </c>
    </row>
    <row r="256" spans="1:16" x14ac:dyDescent="0.2">
      <c r="A256" t="s">
        <v>26</v>
      </c>
      <c r="B256" t="s">
        <v>24</v>
      </c>
      <c r="C256">
        <v>1</v>
      </c>
      <c r="D256">
        <v>50</v>
      </c>
      <c r="E256">
        <v>0</v>
      </c>
      <c r="F256">
        <v>0</v>
      </c>
      <c r="G256" t="s">
        <v>23</v>
      </c>
      <c r="H256" t="s">
        <v>19</v>
      </c>
      <c r="I256">
        <v>1.84</v>
      </c>
      <c r="J256">
        <v>0</v>
      </c>
      <c r="K256">
        <v>1.09768592524397E-2</v>
      </c>
      <c r="L256">
        <v>1</v>
      </c>
      <c r="M256">
        <v>90.36</v>
      </c>
      <c r="N256">
        <v>1.84</v>
      </c>
      <c r="O256">
        <v>49.1086956521739</v>
      </c>
      <c r="P256">
        <v>5.9656843763259302E-3</v>
      </c>
    </row>
    <row r="257" spans="1:16" x14ac:dyDescent="0.2">
      <c r="A257" t="s">
        <v>26</v>
      </c>
      <c r="B257" t="s">
        <v>24</v>
      </c>
      <c r="C257">
        <v>1</v>
      </c>
      <c r="D257">
        <v>50</v>
      </c>
      <c r="E257">
        <v>0</v>
      </c>
      <c r="F257">
        <v>0</v>
      </c>
      <c r="G257" t="s">
        <v>23</v>
      </c>
      <c r="H257" t="s">
        <v>22</v>
      </c>
      <c r="I257">
        <v>2.02</v>
      </c>
      <c r="J257">
        <v>0</v>
      </c>
      <c r="K257">
        <v>1.1013215859030799E-2</v>
      </c>
      <c r="L257">
        <v>1</v>
      </c>
      <c r="M257">
        <v>90</v>
      </c>
      <c r="N257">
        <v>2.02</v>
      </c>
      <c r="O257">
        <v>44.554455445544598</v>
      </c>
      <c r="P257">
        <v>5.4520870589261604E-3</v>
      </c>
    </row>
    <row r="258" spans="1:16" x14ac:dyDescent="0.2">
      <c r="A258" t="s">
        <v>26</v>
      </c>
      <c r="B258" t="s">
        <v>24</v>
      </c>
      <c r="C258">
        <v>1</v>
      </c>
      <c r="D258">
        <v>75</v>
      </c>
      <c r="E258">
        <v>0</v>
      </c>
      <c r="F258">
        <v>0</v>
      </c>
      <c r="G258" t="s">
        <v>18</v>
      </c>
      <c r="H258" t="s">
        <v>19</v>
      </c>
      <c r="I258">
        <v>1.52</v>
      </c>
      <c r="J258">
        <v>0</v>
      </c>
      <c r="K258">
        <v>1.08097752301757E-2</v>
      </c>
      <c r="L258">
        <v>1</v>
      </c>
      <c r="M258">
        <v>92.56</v>
      </c>
      <c r="N258">
        <v>1.52</v>
      </c>
      <c r="O258">
        <v>60.894736842105303</v>
      </c>
      <c r="P258">
        <v>7.1116942303787499E-3</v>
      </c>
    </row>
    <row r="259" spans="1:16" x14ac:dyDescent="0.2">
      <c r="A259" t="s">
        <v>26</v>
      </c>
      <c r="B259" t="s">
        <v>24</v>
      </c>
      <c r="C259">
        <v>1</v>
      </c>
      <c r="D259">
        <v>75</v>
      </c>
      <c r="E259">
        <v>0</v>
      </c>
      <c r="F259">
        <v>0</v>
      </c>
      <c r="G259" t="s">
        <v>18</v>
      </c>
      <c r="H259" t="s">
        <v>22</v>
      </c>
      <c r="I259">
        <v>1.64</v>
      </c>
      <c r="J259">
        <v>0</v>
      </c>
      <c r="K259">
        <v>1.0836584308625901E-2</v>
      </c>
      <c r="L259">
        <v>1</v>
      </c>
      <c r="M259">
        <v>92</v>
      </c>
      <c r="N259">
        <v>1.64</v>
      </c>
      <c r="O259">
        <v>56.097560975609802</v>
      </c>
      <c r="P259">
        <v>6.6076733589182498E-3</v>
      </c>
    </row>
    <row r="260" spans="1:16" x14ac:dyDescent="0.2">
      <c r="A260" t="s">
        <v>26</v>
      </c>
      <c r="B260" t="s">
        <v>24</v>
      </c>
      <c r="C260">
        <v>1</v>
      </c>
      <c r="D260">
        <v>75</v>
      </c>
      <c r="E260">
        <v>0</v>
      </c>
      <c r="F260">
        <v>0</v>
      </c>
      <c r="G260" t="s">
        <v>23</v>
      </c>
      <c r="H260" t="s">
        <v>19</v>
      </c>
      <c r="I260">
        <v>1.86</v>
      </c>
      <c r="J260">
        <v>0</v>
      </c>
      <c r="K260">
        <v>1.0930626250830499E-2</v>
      </c>
      <c r="L260">
        <v>1</v>
      </c>
      <c r="M260">
        <v>92</v>
      </c>
      <c r="N260">
        <v>1.86</v>
      </c>
      <c r="O260">
        <v>49.462365591397798</v>
      </c>
      <c r="P260">
        <v>5.8766807800164E-3</v>
      </c>
    </row>
    <row r="261" spans="1:16" x14ac:dyDescent="0.2">
      <c r="A261" t="s">
        <v>26</v>
      </c>
      <c r="B261" t="s">
        <v>24</v>
      </c>
      <c r="C261">
        <v>1</v>
      </c>
      <c r="D261">
        <v>75</v>
      </c>
      <c r="E261">
        <v>0</v>
      </c>
      <c r="F261">
        <v>0</v>
      </c>
      <c r="G261" t="s">
        <v>23</v>
      </c>
      <c r="H261" t="s">
        <v>22</v>
      </c>
      <c r="I261">
        <v>2.02</v>
      </c>
      <c r="J261">
        <v>0</v>
      </c>
      <c r="K261">
        <v>1.09601052170101E-2</v>
      </c>
      <c r="L261">
        <v>1</v>
      </c>
      <c r="M261">
        <v>92</v>
      </c>
      <c r="N261">
        <v>2.02</v>
      </c>
      <c r="O261">
        <v>45.5445544554455</v>
      </c>
      <c r="P261">
        <v>5.4257946618861798E-3</v>
      </c>
    </row>
    <row r="262" spans="1:16" x14ac:dyDescent="0.2">
      <c r="A262" t="s">
        <v>26</v>
      </c>
      <c r="B262" t="s">
        <v>24</v>
      </c>
      <c r="C262">
        <v>1</v>
      </c>
      <c r="D262">
        <v>100</v>
      </c>
      <c r="E262">
        <v>0</v>
      </c>
      <c r="F262">
        <v>0</v>
      </c>
      <c r="G262" t="s">
        <v>18</v>
      </c>
      <c r="H262" t="s">
        <v>19</v>
      </c>
      <c r="I262">
        <v>1.5</v>
      </c>
      <c r="J262">
        <v>0</v>
      </c>
      <c r="K262">
        <v>1.0809185552300701E-2</v>
      </c>
      <c r="L262">
        <v>1</v>
      </c>
      <c r="M262">
        <v>92.691999999999993</v>
      </c>
      <c r="N262">
        <v>1.5</v>
      </c>
      <c r="O262">
        <v>61.7946666666667</v>
      </c>
      <c r="P262">
        <v>7.2061237015337704E-3</v>
      </c>
    </row>
    <row r="263" spans="1:16" x14ac:dyDescent="0.2">
      <c r="A263" t="s">
        <v>26</v>
      </c>
      <c r="B263" t="s">
        <v>24</v>
      </c>
      <c r="C263">
        <v>1</v>
      </c>
      <c r="D263">
        <v>100</v>
      </c>
      <c r="E263">
        <v>0</v>
      </c>
      <c r="F263">
        <v>0</v>
      </c>
      <c r="G263" t="s">
        <v>18</v>
      </c>
      <c r="H263" t="s">
        <v>22</v>
      </c>
      <c r="I263">
        <v>1.64</v>
      </c>
      <c r="J263">
        <v>0</v>
      </c>
      <c r="K263">
        <v>1.0836584308625901E-2</v>
      </c>
      <c r="L263">
        <v>1</v>
      </c>
      <c r="M263">
        <v>92</v>
      </c>
      <c r="N263">
        <v>1.64</v>
      </c>
      <c r="O263">
        <v>56.097560975609802</v>
      </c>
      <c r="P263">
        <v>6.6076733589182498E-3</v>
      </c>
    </row>
    <row r="264" spans="1:16" x14ac:dyDescent="0.2">
      <c r="A264" t="s">
        <v>26</v>
      </c>
      <c r="B264" t="s">
        <v>24</v>
      </c>
      <c r="C264">
        <v>1</v>
      </c>
      <c r="D264">
        <v>100</v>
      </c>
      <c r="E264">
        <v>0</v>
      </c>
      <c r="F264">
        <v>0</v>
      </c>
      <c r="G264" t="s">
        <v>23</v>
      </c>
      <c r="H264" t="s">
        <v>19</v>
      </c>
      <c r="I264">
        <v>1.86</v>
      </c>
      <c r="J264">
        <v>0</v>
      </c>
      <c r="K264">
        <v>1.0931744504692699E-2</v>
      </c>
      <c r="L264">
        <v>1</v>
      </c>
      <c r="M264">
        <v>92</v>
      </c>
      <c r="N264">
        <v>1.86</v>
      </c>
      <c r="O264">
        <v>49.462365591397798</v>
      </c>
      <c r="P264">
        <v>5.87728199177025E-3</v>
      </c>
    </row>
    <row r="265" spans="1:16" x14ac:dyDescent="0.2">
      <c r="A265" t="s">
        <v>26</v>
      </c>
      <c r="B265" t="s">
        <v>24</v>
      </c>
      <c r="C265">
        <v>1</v>
      </c>
      <c r="D265">
        <v>100</v>
      </c>
      <c r="E265">
        <v>0</v>
      </c>
      <c r="F265">
        <v>0</v>
      </c>
      <c r="G265" t="s">
        <v>23</v>
      </c>
      <c r="H265" t="s">
        <v>22</v>
      </c>
      <c r="I265">
        <v>2.02</v>
      </c>
      <c r="J265">
        <v>0</v>
      </c>
      <c r="K265">
        <v>1.09601052170101E-2</v>
      </c>
      <c r="L265">
        <v>1</v>
      </c>
      <c r="M265">
        <v>92</v>
      </c>
      <c r="N265">
        <v>2.02</v>
      </c>
      <c r="O265">
        <v>45.5445544554455</v>
      </c>
      <c r="P265">
        <v>5.4257946618861798E-3</v>
      </c>
    </row>
    <row r="266" spans="1:16" x14ac:dyDescent="0.2">
      <c r="A266" t="s">
        <v>26</v>
      </c>
      <c r="B266" t="s">
        <v>24</v>
      </c>
      <c r="C266">
        <v>2</v>
      </c>
      <c r="D266">
        <v>25</v>
      </c>
      <c r="E266">
        <v>0</v>
      </c>
      <c r="F266">
        <v>0</v>
      </c>
      <c r="G266" t="s">
        <v>18</v>
      </c>
      <c r="H266" t="s">
        <v>19</v>
      </c>
      <c r="I266">
        <v>1.34</v>
      </c>
      <c r="J266">
        <v>0</v>
      </c>
      <c r="K266">
        <v>1.11620861050704E-2</v>
      </c>
      <c r="L266">
        <v>1</v>
      </c>
      <c r="M266">
        <v>87.132000000000005</v>
      </c>
      <c r="N266">
        <v>1.34</v>
      </c>
      <c r="O266">
        <v>65.023880597014895</v>
      </c>
      <c r="P266">
        <v>8.3299150037839092E-3</v>
      </c>
    </row>
    <row r="267" spans="1:16" x14ac:dyDescent="0.2">
      <c r="A267" t="s">
        <v>26</v>
      </c>
      <c r="B267" t="s">
        <v>24</v>
      </c>
      <c r="C267">
        <v>2</v>
      </c>
      <c r="D267">
        <v>25</v>
      </c>
      <c r="E267">
        <v>0</v>
      </c>
      <c r="F267">
        <v>0</v>
      </c>
      <c r="G267" t="s">
        <v>18</v>
      </c>
      <c r="H267" t="s">
        <v>22</v>
      </c>
      <c r="I267">
        <v>1.5</v>
      </c>
      <c r="J267">
        <v>0</v>
      </c>
      <c r="K267">
        <v>1.1268875366238501E-2</v>
      </c>
      <c r="L267">
        <v>1</v>
      </c>
      <c r="M267">
        <v>84</v>
      </c>
      <c r="N267">
        <v>1.5</v>
      </c>
      <c r="O267">
        <v>56</v>
      </c>
      <c r="P267">
        <v>7.5125835774923003E-3</v>
      </c>
    </row>
    <row r="268" spans="1:16" x14ac:dyDescent="0.2">
      <c r="A268" t="s">
        <v>26</v>
      </c>
      <c r="B268" t="s">
        <v>24</v>
      </c>
      <c r="C268">
        <v>2</v>
      </c>
      <c r="D268">
        <v>25</v>
      </c>
      <c r="E268">
        <v>0</v>
      </c>
      <c r="F268">
        <v>0</v>
      </c>
      <c r="G268" t="s">
        <v>23</v>
      </c>
      <c r="H268" t="s">
        <v>19</v>
      </c>
      <c r="I268">
        <v>1.98</v>
      </c>
      <c r="J268">
        <v>0</v>
      </c>
      <c r="K268">
        <v>1.16348849891356E-2</v>
      </c>
      <c r="L268">
        <v>1</v>
      </c>
      <c r="M268">
        <v>77.896000000000001</v>
      </c>
      <c r="N268">
        <v>1.98</v>
      </c>
      <c r="O268">
        <v>39.341414141414099</v>
      </c>
      <c r="P268">
        <v>5.8762045399674704E-3</v>
      </c>
    </row>
    <row r="269" spans="1:16" x14ac:dyDescent="0.2">
      <c r="A269" t="s">
        <v>26</v>
      </c>
      <c r="B269" t="s">
        <v>24</v>
      </c>
      <c r="C269">
        <v>2</v>
      </c>
      <c r="D269">
        <v>25</v>
      </c>
      <c r="E269">
        <v>0</v>
      </c>
      <c r="F269">
        <v>0</v>
      </c>
      <c r="G269" t="s">
        <v>23</v>
      </c>
      <c r="H269" t="s">
        <v>22</v>
      </c>
      <c r="I269">
        <v>2.64</v>
      </c>
      <c r="J269">
        <v>0</v>
      </c>
      <c r="K269">
        <v>1.2159533073929999E-2</v>
      </c>
      <c r="L269">
        <v>1</v>
      </c>
      <c r="M269">
        <v>72</v>
      </c>
      <c r="N269">
        <v>2.64</v>
      </c>
      <c r="O269">
        <v>27.272727272727298</v>
      </c>
      <c r="P269">
        <v>4.6058837401249898E-3</v>
      </c>
    </row>
    <row r="270" spans="1:16" x14ac:dyDescent="0.2">
      <c r="A270" t="s">
        <v>26</v>
      </c>
      <c r="B270" t="s">
        <v>24</v>
      </c>
      <c r="C270">
        <v>2</v>
      </c>
      <c r="D270">
        <v>50</v>
      </c>
      <c r="E270">
        <v>0</v>
      </c>
      <c r="F270">
        <v>0</v>
      </c>
      <c r="G270" t="s">
        <v>18</v>
      </c>
      <c r="H270" t="s">
        <v>19</v>
      </c>
      <c r="I270">
        <v>1.44</v>
      </c>
      <c r="J270">
        <v>0</v>
      </c>
      <c r="K270">
        <v>1.0911548642363199E-2</v>
      </c>
      <c r="L270">
        <v>1</v>
      </c>
      <c r="M270">
        <v>90.536000000000001</v>
      </c>
      <c r="N270">
        <v>1.44</v>
      </c>
      <c r="O270">
        <v>62.872222222222199</v>
      </c>
      <c r="P270">
        <v>7.57746433497445E-3</v>
      </c>
    </row>
    <row r="271" spans="1:16" x14ac:dyDescent="0.2">
      <c r="A271" t="s">
        <v>26</v>
      </c>
      <c r="B271" t="s">
        <v>24</v>
      </c>
      <c r="C271">
        <v>2</v>
      </c>
      <c r="D271">
        <v>50</v>
      </c>
      <c r="E271">
        <v>0</v>
      </c>
      <c r="F271">
        <v>0</v>
      </c>
      <c r="G271" t="s">
        <v>18</v>
      </c>
      <c r="H271" t="s">
        <v>22</v>
      </c>
      <c r="I271">
        <v>1.54</v>
      </c>
      <c r="J271">
        <v>0</v>
      </c>
      <c r="K271">
        <v>1.0967317394165401E-2</v>
      </c>
      <c r="L271">
        <v>1</v>
      </c>
      <c r="M271">
        <v>88</v>
      </c>
      <c r="N271">
        <v>1.54</v>
      </c>
      <c r="O271">
        <v>57.142857142857103</v>
      </c>
      <c r="P271">
        <v>7.12163467153597E-3</v>
      </c>
    </row>
    <row r="272" spans="1:16" x14ac:dyDescent="0.2">
      <c r="A272" t="s">
        <v>26</v>
      </c>
      <c r="B272" t="s">
        <v>24</v>
      </c>
      <c r="C272">
        <v>2</v>
      </c>
      <c r="D272">
        <v>50</v>
      </c>
      <c r="E272">
        <v>0</v>
      </c>
      <c r="F272">
        <v>0</v>
      </c>
      <c r="G272" t="s">
        <v>23</v>
      </c>
      <c r="H272" t="s">
        <v>19</v>
      </c>
      <c r="I272">
        <v>1.82</v>
      </c>
      <c r="J272">
        <v>0</v>
      </c>
      <c r="K272">
        <v>1.11182553232237E-2</v>
      </c>
      <c r="L272">
        <v>1</v>
      </c>
      <c r="M272">
        <v>83.024000000000001</v>
      </c>
      <c r="N272">
        <v>1.82</v>
      </c>
      <c r="O272">
        <v>45.617582417582398</v>
      </c>
      <c r="P272">
        <v>6.1089314962767503E-3</v>
      </c>
    </row>
    <row r="273" spans="1:16" x14ac:dyDescent="0.2">
      <c r="A273" t="s">
        <v>26</v>
      </c>
      <c r="B273" t="s">
        <v>24</v>
      </c>
      <c r="C273">
        <v>2</v>
      </c>
      <c r="D273">
        <v>50</v>
      </c>
      <c r="E273">
        <v>0</v>
      </c>
      <c r="F273">
        <v>0</v>
      </c>
      <c r="G273" t="s">
        <v>23</v>
      </c>
      <c r="H273" t="s">
        <v>22</v>
      </c>
      <c r="I273">
        <v>2.1</v>
      </c>
      <c r="J273">
        <v>0</v>
      </c>
      <c r="K273">
        <v>1.12233445566779E-2</v>
      </c>
      <c r="L273">
        <v>1</v>
      </c>
      <c r="M273">
        <v>80</v>
      </c>
      <c r="N273">
        <v>2.1</v>
      </c>
      <c r="O273">
        <v>38.095238095238102</v>
      </c>
      <c r="P273">
        <v>5.3444497888942297E-3</v>
      </c>
    </row>
    <row r="274" spans="1:16" x14ac:dyDescent="0.2">
      <c r="A274" t="s">
        <v>26</v>
      </c>
      <c r="B274" t="s">
        <v>24</v>
      </c>
      <c r="C274">
        <v>2</v>
      </c>
      <c r="D274">
        <v>75</v>
      </c>
      <c r="E274">
        <v>0</v>
      </c>
      <c r="F274">
        <v>0</v>
      </c>
      <c r="G274" t="s">
        <v>18</v>
      </c>
      <c r="H274" t="s">
        <v>19</v>
      </c>
      <c r="I274">
        <v>1.48</v>
      </c>
      <c r="J274">
        <v>0</v>
      </c>
      <c r="K274">
        <v>1.08312509457659E-2</v>
      </c>
      <c r="L274">
        <v>1</v>
      </c>
      <c r="M274">
        <v>91.22</v>
      </c>
      <c r="N274">
        <v>1.48</v>
      </c>
      <c r="O274">
        <v>61.635135135135101</v>
      </c>
      <c r="P274">
        <v>7.3184128011931499E-3</v>
      </c>
    </row>
    <row r="275" spans="1:16" x14ac:dyDescent="0.2">
      <c r="A275" t="s">
        <v>26</v>
      </c>
      <c r="B275" t="s">
        <v>24</v>
      </c>
      <c r="C275">
        <v>2</v>
      </c>
      <c r="D275">
        <v>75</v>
      </c>
      <c r="E275">
        <v>0</v>
      </c>
      <c r="F275">
        <v>0</v>
      </c>
      <c r="G275" t="s">
        <v>18</v>
      </c>
      <c r="H275" t="s">
        <v>22</v>
      </c>
      <c r="I275">
        <v>1.6</v>
      </c>
      <c r="J275">
        <v>0</v>
      </c>
      <c r="K275">
        <v>1.0869565217391301E-2</v>
      </c>
      <c r="L275">
        <v>1</v>
      </c>
      <c r="M275">
        <v>90</v>
      </c>
      <c r="N275">
        <v>1.6</v>
      </c>
      <c r="O275">
        <v>56.25</v>
      </c>
      <c r="P275">
        <v>6.7934782608695702E-3</v>
      </c>
    </row>
    <row r="276" spans="1:16" x14ac:dyDescent="0.2">
      <c r="A276" t="s">
        <v>26</v>
      </c>
      <c r="B276" t="s">
        <v>24</v>
      </c>
      <c r="C276">
        <v>2</v>
      </c>
      <c r="D276">
        <v>75</v>
      </c>
      <c r="E276">
        <v>0</v>
      </c>
      <c r="F276">
        <v>0</v>
      </c>
      <c r="G276" t="s">
        <v>23</v>
      </c>
      <c r="H276" t="s">
        <v>19</v>
      </c>
      <c r="I276">
        <v>1.82</v>
      </c>
      <c r="J276">
        <v>0</v>
      </c>
      <c r="K276">
        <v>1.10121759391128E-2</v>
      </c>
      <c r="L276">
        <v>1</v>
      </c>
      <c r="M276">
        <v>83.488</v>
      </c>
      <c r="N276">
        <v>1.82</v>
      </c>
      <c r="O276">
        <v>45.872527472527501</v>
      </c>
      <c r="P276">
        <v>6.05064612039166E-3</v>
      </c>
    </row>
    <row r="277" spans="1:16" x14ac:dyDescent="0.2">
      <c r="A277" t="s">
        <v>26</v>
      </c>
      <c r="B277" t="s">
        <v>24</v>
      </c>
      <c r="C277">
        <v>2</v>
      </c>
      <c r="D277">
        <v>75</v>
      </c>
      <c r="E277">
        <v>0</v>
      </c>
      <c r="F277">
        <v>0</v>
      </c>
      <c r="G277" t="s">
        <v>23</v>
      </c>
      <c r="H277" t="s">
        <v>22</v>
      </c>
      <c r="I277">
        <v>2.04</v>
      </c>
      <c r="J277">
        <v>0</v>
      </c>
      <c r="K277">
        <v>1.10864745011086E-2</v>
      </c>
      <c r="L277">
        <v>1</v>
      </c>
      <c r="M277">
        <v>80</v>
      </c>
      <c r="N277">
        <v>2.04</v>
      </c>
      <c r="O277">
        <v>39.2156862745098</v>
      </c>
      <c r="P277">
        <v>5.4345463240728703E-3</v>
      </c>
    </row>
    <row r="278" spans="1:16" x14ac:dyDescent="0.2">
      <c r="A278" t="s">
        <v>26</v>
      </c>
      <c r="B278" t="s">
        <v>24</v>
      </c>
      <c r="C278">
        <v>2</v>
      </c>
      <c r="D278">
        <v>100</v>
      </c>
      <c r="E278">
        <v>0</v>
      </c>
      <c r="F278">
        <v>0</v>
      </c>
      <c r="G278" t="s">
        <v>18</v>
      </c>
      <c r="H278" t="s">
        <v>19</v>
      </c>
      <c r="I278">
        <v>1.48</v>
      </c>
      <c r="J278">
        <v>0</v>
      </c>
      <c r="K278">
        <v>1.0830337184657399E-2</v>
      </c>
      <c r="L278">
        <v>1</v>
      </c>
      <c r="M278">
        <v>91.391999999999996</v>
      </c>
      <c r="N278">
        <v>1.48</v>
      </c>
      <c r="O278">
        <v>61.751351351351303</v>
      </c>
      <c r="P278">
        <v>7.3177953950387701E-3</v>
      </c>
    </row>
    <row r="279" spans="1:16" x14ac:dyDescent="0.2">
      <c r="A279" t="s">
        <v>26</v>
      </c>
      <c r="B279" t="s">
        <v>24</v>
      </c>
      <c r="C279">
        <v>2</v>
      </c>
      <c r="D279">
        <v>100</v>
      </c>
      <c r="E279">
        <v>0</v>
      </c>
      <c r="F279">
        <v>0</v>
      </c>
      <c r="G279" t="s">
        <v>18</v>
      </c>
      <c r="H279" t="s">
        <v>22</v>
      </c>
      <c r="I279">
        <v>1.6</v>
      </c>
      <c r="J279">
        <v>0</v>
      </c>
      <c r="K279">
        <v>1.0869565217391301E-2</v>
      </c>
      <c r="L279">
        <v>1</v>
      </c>
      <c r="M279">
        <v>90</v>
      </c>
      <c r="N279">
        <v>1.6</v>
      </c>
      <c r="O279">
        <v>56.25</v>
      </c>
      <c r="P279">
        <v>6.7934782608695702E-3</v>
      </c>
    </row>
    <row r="280" spans="1:16" x14ac:dyDescent="0.2">
      <c r="A280" t="s">
        <v>26</v>
      </c>
      <c r="B280" t="s">
        <v>24</v>
      </c>
      <c r="C280">
        <v>2</v>
      </c>
      <c r="D280">
        <v>100</v>
      </c>
      <c r="E280">
        <v>0</v>
      </c>
      <c r="F280">
        <v>0</v>
      </c>
      <c r="G280" t="s">
        <v>23</v>
      </c>
      <c r="H280" t="s">
        <v>19</v>
      </c>
      <c r="I280">
        <v>1.82</v>
      </c>
      <c r="J280">
        <v>0</v>
      </c>
      <c r="K280">
        <v>1.10123648410287E-2</v>
      </c>
      <c r="L280">
        <v>1</v>
      </c>
      <c r="M280">
        <v>83.543999999999997</v>
      </c>
      <c r="N280">
        <v>1.82</v>
      </c>
      <c r="O280">
        <v>45.903296703296697</v>
      </c>
      <c r="P280">
        <v>6.0507499126531304E-3</v>
      </c>
    </row>
    <row r="281" spans="1:16" x14ac:dyDescent="0.2">
      <c r="A281" t="s">
        <v>26</v>
      </c>
      <c r="B281" t="s">
        <v>24</v>
      </c>
      <c r="C281">
        <v>2</v>
      </c>
      <c r="D281">
        <v>100</v>
      </c>
      <c r="E281">
        <v>0</v>
      </c>
      <c r="F281">
        <v>0</v>
      </c>
      <c r="G281" t="s">
        <v>23</v>
      </c>
      <c r="H281" t="s">
        <v>22</v>
      </c>
      <c r="I281">
        <v>2.04</v>
      </c>
      <c r="J281">
        <v>0</v>
      </c>
      <c r="K281">
        <v>1.10864745011086E-2</v>
      </c>
      <c r="L281">
        <v>1</v>
      </c>
      <c r="M281">
        <v>80</v>
      </c>
      <c r="N281">
        <v>2.04</v>
      </c>
      <c r="O281">
        <v>39.2156862745098</v>
      </c>
      <c r="P281">
        <v>5.4345463240728703E-3</v>
      </c>
    </row>
    <row r="282" spans="1:16" x14ac:dyDescent="0.2">
      <c r="A282" t="s">
        <v>26</v>
      </c>
      <c r="B282" t="s">
        <v>24</v>
      </c>
      <c r="C282">
        <v>5</v>
      </c>
      <c r="D282">
        <v>25</v>
      </c>
      <c r="E282">
        <v>0</v>
      </c>
      <c r="F282">
        <v>0</v>
      </c>
      <c r="G282" t="s">
        <v>18</v>
      </c>
      <c r="H282" t="s">
        <v>19</v>
      </c>
      <c r="I282">
        <v>1.1599999999999999</v>
      </c>
      <c r="J282">
        <v>0</v>
      </c>
      <c r="K282">
        <v>1.1600796234953199E-2</v>
      </c>
      <c r="L282">
        <v>1</v>
      </c>
      <c r="M282">
        <v>76.195999999999998</v>
      </c>
      <c r="N282">
        <v>1.1599999999999999</v>
      </c>
      <c r="O282">
        <v>65.686206896551695</v>
      </c>
      <c r="P282">
        <v>1.00006864094424E-2</v>
      </c>
    </row>
    <row r="283" spans="1:16" x14ac:dyDescent="0.2">
      <c r="A283" t="s">
        <v>26</v>
      </c>
      <c r="B283" t="s">
        <v>24</v>
      </c>
      <c r="C283">
        <v>5</v>
      </c>
      <c r="D283">
        <v>25</v>
      </c>
      <c r="E283">
        <v>0</v>
      </c>
      <c r="F283">
        <v>0</v>
      </c>
      <c r="G283" t="s">
        <v>18</v>
      </c>
      <c r="H283" t="s">
        <v>22</v>
      </c>
      <c r="I283">
        <v>1.36</v>
      </c>
      <c r="J283">
        <v>0</v>
      </c>
      <c r="K283">
        <v>1.19731800766284E-2</v>
      </c>
      <c r="L283">
        <v>1</v>
      </c>
      <c r="M283">
        <v>74</v>
      </c>
      <c r="N283">
        <v>1.36</v>
      </c>
      <c r="O283">
        <v>54.411764705882298</v>
      </c>
      <c r="P283">
        <v>8.8038088798737899E-3</v>
      </c>
    </row>
    <row r="284" spans="1:16" x14ac:dyDescent="0.2">
      <c r="A284" t="s">
        <v>26</v>
      </c>
      <c r="B284" t="s">
        <v>24</v>
      </c>
      <c r="C284">
        <v>5</v>
      </c>
      <c r="D284">
        <v>25</v>
      </c>
      <c r="E284">
        <v>0</v>
      </c>
      <c r="F284">
        <v>0</v>
      </c>
      <c r="G284" t="s">
        <v>23</v>
      </c>
      <c r="H284" t="s">
        <v>19</v>
      </c>
      <c r="I284">
        <v>3.02</v>
      </c>
      <c r="J284">
        <v>0</v>
      </c>
      <c r="K284">
        <v>1.9352978431090601E-2</v>
      </c>
      <c r="L284">
        <v>0.94399999999999995</v>
      </c>
      <c r="M284">
        <v>33.427999999999997</v>
      </c>
      <c r="N284">
        <v>3.02</v>
      </c>
      <c r="O284">
        <v>11.068874172185399</v>
      </c>
      <c r="P284">
        <v>6.4082710036723898E-3</v>
      </c>
    </row>
    <row r="285" spans="1:16" x14ac:dyDescent="0.2">
      <c r="A285" t="s">
        <v>26</v>
      </c>
      <c r="B285" t="s">
        <v>24</v>
      </c>
      <c r="C285">
        <v>5</v>
      </c>
      <c r="D285">
        <v>25</v>
      </c>
      <c r="E285">
        <v>0</v>
      </c>
      <c r="F285">
        <v>0</v>
      </c>
      <c r="G285" t="s">
        <v>23</v>
      </c>
      <c r="H285" t="s">
        <v>22</v>
      </c>
      <c r="I285">
        <v>5</v>
      </c>
      <c r="J285">
        <v>0</v>
      </c>
      <c r="K285">
        <v>4.7564687975646903E-3</v>
      </c>
      <c r="L285">
        <v>0</v>
      </c>
      <c r="M285">
        <v>0</v>
      </c>
      <c r="N285">
        <v>5</v>
      </c>
      <c r="O285">
        <v>0</v>
      </c>
      <c r="P285">
        <v>9.5129375951293798E-4</v>
      </c>
    </row>
    <row r="286" spans="1:16" x14ac:dyDescent="0.2">
      <c r="A286" t="s">
        <v>26</v>
      </c>
      <c r="B286" t="s">
        <v>24</v>
      </c>
      <c r="C286">
        <v>5</v>
      </c>
      <c r="D286">
        <v>50</v>
      </c>
      <c r="E286">
        <v>0</v>
      </c>
      <c r="F286">
        <v>0</v>
      </c>
      <c r="G286" t="s">
        <v>18</v>
      </c>
      <c r="H286" t="s">
        <v>19</v>
      </c>
      <c r="I286">
        <v>1.34</v>
      </c>
      <c r="J286">
        <v>0</v>
      </c>
      <c r="K286">
        <v>1.1080044240174799E-2</v>
      </c>
      <c r="L286">
        <v>1</v>
      </c>
      <c r="M286">
        <v>85.203999999999994</v>
      </c>
      <c r="N286">
        <v>1.34</v>
      </c>
      <c r="O286">
        <v>63.585074626865698</v>
      </c>
      <c r="P286">
        <v>8.2686897314737506E-3</v>
      </c>
    </row>
    <row r="287" spans="1:16" x14ac:dyDescent="0.2">
      <c r="A287" t="s">
        <v>26</v>
      </c>
      <c r="B287" t="s">
        <v>24</v>
      </c>
      <c r="C287">
        <v>5</v>
      </c>
      <c r="D287">
        <v>50</v>
      </c>
      <c r="E287">
        <v>0</v>
      </c>
      <c r="F287">
        <v>0</v>
      </c>
      <c r="G287" t="s">
        <v>18</v>
      </c>
      <c r="H287" t="s">
        <v>22</v>
      </c>
      <c r="I287">
        <v>1.48</v>
      </c>
      <c r="J287">
        <v>0</v>
      </c>
      <c r="K287">
        <v>1.1208249271463799E-2</v>
      </c>
      <c r="L287">
        <v>1</v>
      </c>
      <c r="M287">
        <v>82</v>
      </c>
      <c r="N287">
        <v>1.48</v>
      </c>
      <c r="O287">
        <v>55.405405405405403</v>
      </c>
      <c r="P287">
        <v>7.5731413996376999E-3</v>
      </c>
    </row>
    <row r="288" spans="1:16" x14ac:dyDescent="0.2">
      <c r="A288" t="s">
        <v>26</v>
      </c>
      <c r="B288" t="s">
        <v>24</v>
      </c>
      <c r="C288">
        <v>5</v>
      </c>
      <c r="D288">
        <v>50</v>
      </c>
      <c r="E288">
        <v>0</v>
      </c>
      <c r="F288">
        <v>0</v>
      </c>
      <c r="G288" t="s">
        <v>23</v>
      </c>
      <c r="H288" t="s">
        <v>19</v>
      </c>
      <c r="I288">
        <v>1.88</v>
      </c>
      <c r="J288">
        <v>0</v>
      </c>
      <c r="K288">
        <v>1.1671640315059699E-2</v>
      </c>
      <c r="L288">
        <v>1</v>
      </c>
      <c r="M288">
        <v>68.760000000000005</v>
      </c>
      <c r="N288">
        <v>1.88</v>
      </c>
      <c r="O288">
        <v>36.574468085106403</v>
      </c>
      <c r="P288">
        <v>6.20831931652111E-3</v>
      </c>
    </row>
    <row r="289" spans="1:16" x14ac:dyDescent="0.2">
      <c r="A289" t="s">
        <v>26</v>
      </c>
      <c r="B289" t="s">
        <v>24</v>
      </c>
      <c r="C289">
        <v>5</v>
      </c>
      <c r="D289">
        <v>50</v>
      </c>
      <c r="E289">
        <v>0</v>
      </c>
      <c r="F289">
        <v>0</v>
      </c>
      <c r="G289" t="s">
        <v>23</v>
      </c>
      <c r="H289" t="s">
        <v>22</v>
      </c>
      <c r="I289">
        <v>2.7</v>
      </c>
      <c r="J289">
        <v>0</v>
      </c>
      <c r="K289">
        <v>1.2459506603538501E-2</v>
      </c>
      <c r="L289">
        <v>1</v>
      </c>
      <c r="M289">
        <v>56</v>
      </c>
      <c r="N289">
        <v>2.7</v>
      </c>
      <c r="O289">
        <v>20.740740740740701</v>
      </c>
      <c r="P289">
        <v>4.6146320753846304E-3</v>
      </c>
    </row>
    <row r="290" spans="1:16" x14ac:dyDescent="0.2">
      <c r="A290" t="s">
        <v>26</v>
      </c>
      <c r="B290" t="s">
        <v>24</v>
      </c>
      <c r="C290">
        <v>5</v>
      </c>
      <c r="D290">
        <v>75</v>
      </c>
      <c r="E290">
        <v>0</v>
      </c>
      <c r="F290">
        <v>0</v>
      </c>
      <c r="G290" t="s">
        <v>18</v>
      </c>
      <c r="H290" t="s">
        <v>19</v>
      </c>
      <c r="I290">
        <v>1.44</v>
      </c>
      <c r="J290">
        <v>0</v>
      </c>
      <c r="K290">
        <v>1.0893863005814399E-2</v>
      </c>
      <c r="L290">
        <v>1</v>
      </c>
      <c r="M290">
        <v>86.468000000000004</v>
      </c>
      <c r="N290">
        <v>1.44</v>
      </c>
      <c r="O290">
        <v>60.047222222222203</v>
      </c>
      <c r="P290">
        <v>7.56518264292664E-3</v>
      </c>
    </row>
    <row r="291" spans="1:16" x14ac:dyDescent="0.2">
      <c r="A291" t="s">
        <v>26</v>
      </c>
      <c r="B291" t="s">
        <v>24</v>
      </c>
      <c r="C291">
        <v>5</v>
      </c>
      <c r="D291">
        <v>75</v>
      </c>
      <c r="E291">
        <v>0</v>
      </c>
      <c r="F291">
        <v>0</v>
      </c>
      <c r="G291" t="s">
        <v>18</v>
      </c>
      <c r="H291" t="s">
        <v>22</v>
      </c>
      <c r="I291">
        <v>1.56</v>
      </c>
      <c r="J291">
        <v>0</v>
      </c>
      <c r="K291">
        <v>1.0976948408342501E-2</v>
      </c>
      <c r="L291">
        <v>1</v>
      </c>
      <c r="M291">
        <v>84</v>
      </c>
      <c r="N291">
        <v>1.56</v>
      </c>
      <c r="O291">
        <v>53.846153846153797</v>
      </c>
      <c r="P291">
        <v>7.0365053899631297E-3</v>
      </c>
    </row>
    <row r="292" spans="1:16" x14ac:dyDescent="0.2">
      <c r="A292" t="s">
        <v>26</v>
      </c>
      <c r="B292" t="s">
        <v>24</v>
      </c>
      <c r="C292">
        <v>5</v>
      </c>
      <c r="D292">
        <v>75</v>
      </c>
      <c r="E292">
        <v>0</v>
      </c>
      <c r="F292">
        <v>0</v>
      </c>
      <c r="G292" t="s">
        <v>23</v>
      </c>
      <c r="H292" t="s">
        <v>19</v>
      </c>
      <c r="I292">
        <v>1.8</v>
      </c>
      <c r="J292">
        <v>0</v>
      </c>
      <c r="K292">
        <v>1.1349261122451999E-2</v>
      </c>
      <c r="L292">
        <v>1</v>
      </c>
      <c r="M292">
        <v>73.012</v>
      </c>
      <c r="N292">
        <v>1.8</v>
      </c>
      <c r="O292">
        <v>40.562222222222204</v>
      </c>
      <c r="P292">
        <v>6.3051450680289096E-3</v>
      </c>
    </row>
    <row r="293" spans="1:16" x14ac:dyDescent="0.2">
      <c r="A293" t="s">
        <v>26</v>
      </c>
      <c r="B293" t="s">
        <v>24</v>
      </c>
      <c r="C293">
        <v>5</v>
      </c>
      <c r="D293">
        <v>75</v>
      </c>
      <c r="E293">
        <v>0</v>
      </c>
      <c r="F293">
        <v>0</v>
      </c>
      <c r="G293" t="s">
        <v>23</v>
      </c>
      <c r="H293" t="s">
        <v>22</v>
      </c>
      <c r="I293">
        <v>2.2799999999999998</v>
      </c>
      <c r="J293">
        <v>0</v>
      </c>
      <c r="K293">
        <v>1.17564072419469E-2</v>
      </c>
      <c r="L293">
        <v>1</v>
      </c>
      <c r="M293">
        <v>64</v>
      </c>
      <c r="N293">
        <v>2.2799999999999998</v>
      </c>
      <c r="O293">
        <v>28.0701754385965</v>
      </c>
      <c r="P293">
        <v>5.1563189657661702E-3</v>
      </c>
    </row>
    <row r="294" spans="1:16" x14ac:dyDescent="0.2">
      <c r="A294" t="s">
        <v>26</v>
      </c>
      <c r="B294" t="s">
        <v>24</v>
      </c>
      <c r="C294">
        <v>5</v>
      </c>
      <c r="D294">
        <v>100</v>
      </c>
      <c r="E294">
        <v>0</v>
      </c>
      <c r="F294">
        <v>0</v>
      </c>
      <c r="G294" t="s">
        <v>18</v>
      </c>
      <c r="H294" t="s">
        <v>19</v>
      </c>
      <c r="I294">
        <v>1.44</v>
      </c>
      <c r="J294">
        <v>0</v>
      </c>
      <c r="K294">
        <v>1.0893300414674E-2</v>
      </c>
      <c r="L294">
        <v>1</v>
      </c>
      <c r="M294">
        <v>86.46</v>
      </c>
      <c r="N294">
        <v>1.44</v>
      </c>
      <c r="O294">
        <v>60.0416666666667</v>
      </c>
      <c r="P294">
        <v>7.5647919546347102E-3</v>
      </c>
    </row>
    <row r="295" spans="1:16" x14ac:dyDescent="0.2">
      <c r="A295" t="s">
        <v>26</v>
      </c>
      <c r="B295" t="s">
        <v>24</v>
      </c>
      <c r="C295">
        <v>5</v>
      </c>
      <c r="D295">
        <v>100</v>
      </c>
      <c r="E295">
        <v>0</v>
      </c>
      <c r="F295">
        <v>0</v>
      </c>
      <c r="G295" t="s">
        <v>18</v>
      </c>
      <c r="H295" t="s">
        <v>22</v>
      </c>
      <c r="I295">
        <v>1.56</v>
      </c>
      <c r="J295">
        <v>0</v>
      </c>
      <c r="K295">
        <v>1.0976948408342501E-2</v>
      </c>
      <c r="L295">
        <v>1</v>
      </c>
      <c r="M295">
        <v>84</v>
      </c>
      <c r="N295">
        <v>1.56</v>
      </c>
      <c r="O295">
        <v>53.846153846153797</v>
      </c>
      <c r="P295">
        <v>7.0365053899631297E-3</v>
      </c>
    </row>
    <row r="296" spans="1:16" x14ac:dyDescent="0.2">
      <c r="A296" t="s">
        <v>26</v>
      </c>
      <c r="B296" t="s">
        <v>24</v>
      </c>
      <c r="C296">
        <v>5</v>
      </c>
      <c r="D296">
        <v>100</v>
      </c>
      <c r="E296">
        <v>0</v>
      </c>
      <c r="F296">
        <v>0</v>
      </c>
      <c r="G296" t="s">
        <v>23</v>
      </c>
      <c r="H296" t="s">
        <v>19</v>
      </c>
      <c r="I296">
        <v>1.8</v>
      </c>
      <c r="J296">
        <v>0</v>
      </c>
      <c r="K296">
        <v>1.1343657371823201E-2</v>
      </c>
      <c r="L296">
        <v>1</v>
      </c>
      <c r="M296">
        <v>73.063999999999993</v>
      </c>
      <c r="N296">
        <v>1.8</v>
      </c>
      <c r="O296">
        <v>40.591111111111097</v>
      </c>
      <c r="P296">
        <v>6.3020318732351401E-3</v>
      </c>
    </row>
    <row r="297" spans="1:16" x14ac:dyDescent="0.2">
      <c r="A297" t="s">
        <v>26</v>
      </c>
      <c r="B297" t="s">
        <v>24</v>
      </c>
      <c r="C297">
        <v>5</v>
      </c>
      <c r="D297">
        <v>100</v>
      </c>
      <c r="E297">
        <v>0</v>
      </c>
      <c r="F297">
        <v>0</v>
      </c>
      <c r="G297" t="s">
        <v>23</v>
      </c>
      <c r="H297" t="s">
        <v>22</v>
      </c>
      <c r="I297">
        <v>2.2799999999999998</v>
      </c>
      <c r="J297">
        <v>0</v>
      </c>
      <c r="K297">
        <v>1.17564072419469E-2</v>
      </c>
      <c r="L297">
        <v>1</v>
      </c>
      <c r="M297">
        <v>64</v>
      </c>
      <c r="N297">
        <v>2.2799999999999998</v>
      </c>
      <c r="O297">
        <v>28.0701754385965</v>
      </c>
      <c r="P297">
        <v>5.1563189657661702E-3</v>
      </c>
    </row>
    <row r="298" spans="1:16" x14ac:dyDescent="0.2">
      <c r="A298" t="s">
        <v>26</v>
      </c>
      <c r="B298" t="s">
        <v>17</v>
      </c>
      <c r="C298">
        <v>0</v>
      </c>
      <c r="D298">
        <v>0</v>
      </c>
      <c r="E298">
        <v>1</v>
      </c>
      <c r="F298">
        <v>25</v>
      </c>
      <c r="G298" t="s">
        <v>18</v>
      </c>
      <c r="H298" t="s">
        <v>19</v>
      </c>
      <c r="I298">
        <v>0</v>
      </c>
      <c r="J298">
        <v>15.62</v>
      </c>
      <c r="K298">
        <v>1.51299380984135E-2</v>
      </c>
      <c r="L298">
        <v>0</v>
      </c>
      <c r="M298">
        <v>0</v>
      </c>
      <c r="N298">
        <v>15.62</v>
      </c>
      <c r="O298">
        <v>0</v>
      </c>
      <c r="P298">
        <v>9.6862599861802104E-4</v>
      </c>
    </row>
    <row r="299" spans="1:16" x14ac:dyDescent="0.2">
      <c r="A299" t="s">
        <v>26</v>
      </c>
      <c r="B299" t="s">
        <v>17</v>
      </c>
      <c r="C299">
        <v>0</v>
      </c>
      <c r="D299">
        <v>0</v>
      </c>
      <c r="E299">
        <v>1</v>
      </c>
      <c r="F299">
        <v>25</v>
      </c>
      <c r="G299" t="s">
        <v>18</v>
      </c>
      <c r="H299" t="s">
        <v>22</v>
      </c>
      <c r="I299">
        <v>0</v>
      </c>
      <c r="J299">
        <v>20.76</v>
      </c>
      <c r="K299">
        <v>1.90621425848265E-2</v>
      </c>
      <c r="L299">
        <v>0</v>
      </c>
      <c r="M299">
        <v>0</v>
      </c>
      <c r="N299">
        <v>20.76</v>
      </c>
      <c r="O299">
        <v>0</v>
      </c>
      <c r="P299">
        <v>9.1821496073345502E-4</v>
      </c>
    </row>
    <row r="300" spans="1:16" x14ac:dyDescent="0.2">
      <c r="A300" t="s">
        <v>26</v>
      </c>
      <c r="B300" t="s">
        <v>17</v>
      </c>
      <c r="C300">
        <v>0</v>
      </c>
      <c r="D300">
        <v>0</v>
      </c>
      <c r="E300">
        <v>1</v>
      </c>
      <c r="F300">
        <v>25</v>
      </c>
      <c r="G300" t="s">
        <v>23</v>
      </c>
      <c r="H300" t="s">
        <v>19</v>
      </c>
      <c r="I300">
        <v>0</v>
      </c>
      <c r="J300">
        <v>24.5</v>
      </c>
      <c r="K300">
        <v>2.2886119082353901E-2</v>
      </c>
      <c r="L300">
        <v>0</v>
      </c>
      <c r="M300">
        <v>0</v>
      </c>
      <c r="N300">
        <v>24.5</v>
      </c>
      <c r="O300">
        <v>0</v>
      </c>
      <c r="P300">
        <v>9.3412730948383297E-4</v>
      </c>
    </row>
    <row r="301" spans="1:16" x14ac:dyDescent="0.2">
      <c r="A301" t="s">
        <v>26</v>
      </c>
      <c r="B301" t="s">
        <v>17</v>
      </c>
      <c r="C301">
        <v>0</v>
      </c>
      <c r="D301">
        <v>0</v>
      </c>
      <c r="E301">
        <v>1</v>
      </c>
      <c r="F301">
        <v>25</v>
      </c>
      <c r="G301" t="s">
        <v>23</v>
      </c>
      <c r="H301" t="s">
        <v>22</v>
      </c>
      <c r="I301">
        <v>0</v>
      </c>
      <c r="J301">
        <v>24.5</v>
      </c>
      <c r="K301">
        <v>4.3204009332066E-3</v>
      </c>
      <c r="L301">
        <v>0</v>
      </c>
      <c r="M301">
        <v>0</v>
      </c>
      <c r="N301">
        <v>24.5</v>
      </c>
      <c r="O301">
        <v>0</v>
      </c>
      <c r="P301">
        <v>1.7634289523292299E-4</v>
      </c>
    </row>
    <row r="302" spans="1:16" x14ac:dyDescent="0.2">
      <c r="A302" t="s">
        <v>26</v>
      </c>
      <c r="B302" t="s">
        <v>17</v>
      </c>
      <c r="C302">
        <v>0</v>
      </c>
      <c r="D302">
        <v>0</v>
      </c>
      <c r="E302">
        <v>1</v>
      </c>
      <c r="F302">
        <v>50</v>
      </c>
      <c r="G302" t="s">
        <v>18</v>
      </c>
      <c r="H302" t="s">
        <v>19</v>
      </c>
      <c r="I302">
        <v>0</v>
      </c>
      <c r="J302">
        <v>27.16</v>
      </c>
      <c r="K302">
        <v>1.5787443612699299E-2</v>
      </c>
      <c r="L302">
        <v>0</v>
      </c>
      <c r="M302">
        <v>0</v>
      </c>
      <c r="N302">
        <v>27.16</v>
      </c>
      <c r="O302">
        <v>0</v>
      </c>
      <c r="P302">
        <v>5.8127553802280298E-4</v>
      </c>
    </row>
    <row r="303" spans="1:16" x14ac:dyDescent="0.2">
      <c r="A303" t="s">
        <v>26</v>
      </c>
      <c r="B303" t="s">
        <v>17</v>
      </c>
      <c r="C303">
        <v>0</v>
      </c>
      <c r="D303">
        <v>0</v>
      </c>
      <c r="E303">
        <v>1</v>
      </c>
      <c r="F303">
        <v>50</v>
      </c>
      <c r="G303" t="s">
        <v>18</v>
      </c>
      <c r="H303" t="s">
        <v>22</v>
      </c>
      <c r="I303">
        <v>0</v>
      </c>
      <c r="J303">
        <v>31.14</v>
      </c>
      <c r="K303">
        <v>1.71232876712329E-2</v>
      </c>
      <c r="L303">
        <v>0</v>
      </c>
      <c r="M303">
        <v>0</v>
      </c>
      <c r="N303">
        <v>31.14</v>
      </c>
      <c r="O303">
        <v>0</v>
      </c>
      <c r="P303">
        <v>5.4988078584562901E-4</v>
      </c>
    </row>
    <row r="304" spans="1:16" x14ac:dyDescent="0.2">
      <c r="A304" t="s">
        <v>26</v>
      </c>
      <c r="B304" t="s">
        <v>17</v>
      </c>
      <c r="C304">
        <v>0</v>
      </c>
      <c r="D304">
        <v>0</v>
      </c>
      <c r="E304">
        <v>1</v>
      </c>
      <c r="F304">
        <v>50</v>
      </c>
      <c r="G304" t="s">
        <v>23</v>
      </c>
      <c r="H304" t="s">
        <v>19</v>
      </c>
      <c r="I304">
        <v>0</v>
      </c>
      <c r="J304">
        <v>22.82</v>
      </c>
      <c r="K304">
        <v>1.4175321821576299E-2</v>
      </c>
      <c r="L304">
        <v>0</v>
      </c>
      <c r="M304">
        <v>0</v>
      </c>
      <c r="N304">
        <v>22.82</v>
      </c>
      <c r="O304">
        <v>0</v>
      </c>
      <c r="P304">
        <v>6.2117974678248397E-4</v>
      </c>
    </row>
    <row r="305" spans="1:16" x14ac:dyDescent="0.2">
      <c r="A305" t="s">
        <v>26</v>
      </c>
      <c r="B305" t="s">
        <v>17</v>
      </c>
      <c r="C305">
        <v>0</v>
      </c>
      <c r="D305">
        <v>0</v>
      </c>
      <c r="E305">
        <v>1</v>
      </c>
      <c r="F305">
        <v>50</v>
      </c>
      <c r="G305" t="s">
        <v>23</v>
      </c>
      <c r="H305" t="s">
        <v>22</v>
      </c>
      <c r="I305">
        <v>0</v>
      </c>
      <c r="J305">
        <v>34.9</v>
      </c>
      <c r="K305">
        <v>2.22617987533393E-2</v>
      </c>
      <c r="L305">
        <v>0</v>
      </c>
      <c r="M305">
        <v>0</v>
      </c>
      <c r="N305">
        <v>34.9</v>
      </c>
      <c r="O305">
        <v>0</v>
      </c>
      <c r="P305">
        <v>6.3787388978049501E-4</v>
      </c>
    </row>
    <row r="306" spans="1:16" x14ac:dyDescent="0.2">
      <c r="A306" t="s">
        <v>26</v>
      </c>
      <c r="B306" t="s">
        <v>17</v>
      </c>
      <c r="C306">
        <v>0</v>
      </c>
      <c r="D306">
        <v>0</v>
      </c>
      <c r="E306">
        <v>1</v>
      </c>
      <c r="F306">
        <v>75</v>
      </c>
      <c r="G306" t="s">
        <v>18</v>
      </c>
      <c r="H306" t="s">
        <v>19</v>
      </c>
      <c r="I306">
        <v>0</v>
      </c>
      <c r="J306">
        <v>33.86</v>
      </c>
      <c r="K306">
        <v>1.7109457300575E-2</v>
      </c>
      <c r="L306">
        <v>0</v>
      </c>
      <c r="M306">
        <v>0</v>
      </c>
      <c r="N306">
        <v>33.86</v>
      </c>
      <c r="O306">
        <v>0</v>
      </c>
      <c r="P306">
        <v>5.0529997934362005E-4</v>
      </c>
    </row>
    <row r="307" spans="1:16" x14ac:dyDescent="0.2">
      <c r="A307" t="s">
        <v>26</v>
      </c>
      <c r="B307" t="s">
        <v>17</v>
      </c>
      <c r="C307">
        <v>0</v>
      </c>
      <c r="D307">
        <v>0</v>
      </c>
      <c r="E307">
        <v>1</v>
      </c>
      <c r="F307">
        <v>75</v>
      </c>
      <c r="G307" t="s">
        <v>18</v>
      </c>
      <c r="H307" t="s">
        <v>22</v>
      </c>
      <c r="I307">
        <v>0</v>
      </c>
      <c r="J307">
        <v>38.94</v>
      </c>
      <c r="K307">
        <v>1.84842883548983E-2</v>
      </c>
      <c r="L307">
        <v>0</v>
      </c>
      <c r="M307">
        <v>0</v>
      </c>
      <c r="N307">
        <v>38.94</v>
      </c>
      <c r="O307">
        <v>0</v>
      </c>
      <c r="P307">
        <v>4.7468639843087698E-4</v>
      </c>
    </row>
    <row r="308" spans="1:16" x14ac:dyDescent="0.2">
      <c r="A308" t="s">
        <v>26</v>
      </c>
      <c r="B308" t="s">
        <v>17</v>
      </c>
      <c r="C308">
        <v>0</v>
      </c>
      <c r="D308">
        <v>0</v>
      </c>
      <c r="E308">
        <v>1</v>
      </c>
      <c r="F308">
        <v>75</v>
      </c>
      <c r="G308" t="s">
        <v>23</v>
      </c>
      <c r="H308" t="s">
        <v>19</v>
      </c>
      <c r="I308">
        <v>0</v>
      </c>
      <c r="J308">
        <v>19.96</v>
      </c>
      <c r="K308">
        <v>1.3879057570807899E-2</v>
      </c>
      <c r="L308">
        <v>0</v>
      </c>
      <c r="M308">
        <v>0</v>
      </c>
      <c r="N308">
        <v>19.96</v>
      </c>
      <c r="O308">
        <v>0</v>
      </c>
      <c r="P308">
        <v>6.9534356567173695E-4</v>
      </c>
    </row>
    <row r="309" spans="1:16" x14ac:dyDescent="0.2">
      <c r="A309" t="s">
        <v>26</v>
      </c>
      <c r="B309" t="s">
        <v>17</v>
      </c>
      <c r="C309">
        <v>0</v>
      </c>
      <c r="D309">
        <v>0</v>
      </c>
      <c r="E309">
        <v>1</v>
      </c>
      <c r="F309">
        <v>75</v>
      </c>
      <c r="G309" t="s">
        <v>23</v>
      </c>
      <c r="H309" t="s">
        <v>22</v>
      </c>
      <c r="I309">
        <v>0</v>
      </c>
      <c r="J309">
        <v>27.26</v>
      </c>
      <c r="K309">
        <v>1.52765047357165E-2</v>
      </c>
      <c r="L309">
        <v>0</v>
      </c>
      <c r="M309">
        <v>0</v>
      </c>
      <c r="N309">
        <v>27.26</v>
      </c>
      <c r="O309">
        <v>0</v>
      </c>
      <c r="P309">
        <v>5.6040002698886499E-4</v>
      </c>
    </row>
    <row r="310" spans="1:16" x14ac:dyDescent="0.2">
      <c r="A310" t="s">
        <v>26</v>
      </c>
      <c r="B310" t="s">
        <v>17</v>
      </c>
      <c r="C310">
        <v>0</v>
      </c>
      <c r="D310">
        <v>0</v>
      </c>
      <c r="E310">
        <v>1</v>
      </c>
      <c r="F310">
        <v>100</v>
      </c>
      <c r="G310" t="s">
        <v>18</v>
      </c>
      <c r="H310" t="s">
        <v>19</v>
      </c>
      <c r="I310">
        <v>0</v>
      </c>
      <c r="J310">
        <v>40.700000000000003</v>
      </c>
      <c r="K310">
        <v>1.8852573004637701E-2</v>
      </c>
      <c r="L310">
        <v>0</v>
      </c>
      <c r="M310">
        <v>0</v>
      </c>
      <c r="N310">
        <v>40.700000000000003</v>
      </c>
      <c r="O310">
        <v>0</v>
      </c>
      <c r="P310">
        <v>4.6320818193212898E-4</v>
      </c>
    </row>
    <row r="311" spans="1:16" x14ac:dyDescent="0.2">
      <c r="A311" t="s">
        <v>26</v>
      </c>
      <c r="B311" t="s">
        <v>17</v>
      </c>
      <c r="C311">
        <v>0</v>
      </c>
      <c r="D311">
        <v>0</v>
      </c>
      <c r="E311">
        <v>1</v>
      </c>
      <c r="F311">
        <v>100</v>
      </c>
      <c r="G311" t="s">
        <v>18</v>
      </c>
      <c r="H311" t="s">
        <v>22</v>
      </c>
      <c r="I311">
        <v>0</v>
      </c>
      <c r="J311">
        <v>44.58</v>
      </c>
      <c r="K311">
        <v>2.0764119601328901E-2</v>
      </c>
      <c r="L311">
        <v>0</v>
      </c>
      <c r="M311">
        <v>0</v>
      </c>
      <c r="N311">
        <v>44.58</v>
      </c>
      <c r="O311">
        <v>0</v>
      </c>
      <c r="P311">
        <v>4.6577208616709103E-4</v>
      </c>
    </row>
    <row r="312" spans="1:16" x14ac:dyDescent="0.2">
      <c r="A312" t="s">
        <v>26</v>
      </c>
      <c r="B312" t="s">
        <v>17</v>
      </c>
      <c r="C312">
        <v>0</v>
      </c>
      <c r="D312">
        <v>0</v>
      </c>
      <c r="E312">
        <v>1</v>
      </c>
      <c r="F312">
        <v>100</v>
      </c>
      <c r="G312" t="s">
        <v>23</v>
      </c>
      <c r="H312" t="s">
        <v>19</v>
      </c>
      <c r="I312">
        <v>0</v>
      </c>
      <c r="J312">
        <v>23.4</v>
      </c>
      <c r="K312">
        <v>1.44729612522303E-2</v>
      </c>
      <c r="L312">
        <v>0</v>
      </c>
      <c r="M312">
        <v>0</v>
      </c>
      <c r="N312">
        <v>23.4</v>
      </c>
      <c r="O312">
        <v>0</v>
      </c>
      <c r="P312">
        <v>6.1850261761668105E-4</v>
      </c>
    </row>
    <row r="313" spans="1:16" x14ac:dyDescent="0.2">
      <c r="A313" t="s">
        <v>26</v>
      </c>
      <c r="B313" t="s">
        <v>17</v>
      </c>
      <c r="C313">
        <v>0</v>
      </c>
      <c r="D313">
        <v>0</v>
      </c>
      <c r="E313">
        <v>1</v>
      </c>
      <c r="F313">
        <v>100</v>
      </c>
      <c r="G313" t="s">
        <v>23</v>
      </c>
      <c r="H313" t="s">
        <v>22</v>
      </c>
      <c r="I313">
        <v>0</v>
      </c>
      <c r="J313">
        <v>30.96</v>
      </c>
      <c r="K313">
        <v>1.62284972411555E-2</v>
      </c>
      <c r="L313">
        <v>0</v>
      </c>
      <c r="M313">
        <v>0</v>
      </c>
      <c r="N313">
        <v>30.96</v>
      </c>
      <c r="O313">
        <v>0</v>
      </c>
      <c r="P313">
        <v>5.2417626747918204E-4</v>
      </c>
    </row>
    <row r="314" spans="1:16" x14ac:dyDescent="0.2">
      <c r="A314" t="s">
        <v>26</v>
      </c>
      <c r="B314" t="s">
        <v>17</v>
      </c>
      <c r="C314">
        <v>0</v>
      </c>
      <c r="D314">
        <v>0</v>
      </c>
      <c r="E314">
        <v>2</v>
      </c>
      <c r="F314">
        <v>25</v>
      </c>
      <c r="G314" t="s">
        <v>18</v>
      </c>
      <c r="H314" t="s">
        <v>19</v>
      </c>
      <c r="I314">
        <v>0</v>
      </c>
      <c r="J314">
        <v>8.42</v>
      </c>
      <c r="K314">
        <v>1.5291424702791601E-2</v>
      </c>
      <c r="L314">
        <v>0.6</v>
      </c>
      <c r="M314">
        <v>4.0880000000000001</v>
      </c>
      <c r="N314">
        <v>8.42</v>
      </c>
      <c r="O314">
        <v>0.48551068883610499</v>
      </c>
      <c r="P314">
        <v>1.8160836939182499E-3</v>
      </c>
    </row>
    <row r="315" spans="1:16" x14ac:dyDescent="0.2">
      <c r="A315" t="s">
        <v>26</v>
      </c>
      <c r="B315" t="s">
        <v>17</v>
      </c>
      <c r="C315">
        <v>0</v>
      </c>
      <c r="D315">
        <v>0</v>
      </c>
      <c r="E315">
        <v>2</v>
      </c>
      <c r="F315">
        <v>25</v>
      </c>
      <c r="G315" t="s">
        <v>18</v>
      </c>
      <c r="H315" t="s">
        <v>22</v>
      </c>
      <c r="I315">
        <v>0</v>
      </c>
      <c r="J315">
        <v>12.18</v>
      </c>
      <c r="K315">
        <v>2.7639579878385799E-2</v>
      </c>
      <c r="L315">
        <v>0</v>
      </c>
      <c r="M315">
        <v>0</v>
      </c>
      <c r="N315">
        <v>12.18</v>
      </c>
      <c r="O315">
        <v>0</v>
      </c>
      <c r="P315">
        <v>2.2692594317229799E-3</v>
      </c>
    </row>
    <row r="316" spans="1:16" x14ac:dyDescent="0.2">
      <c r="A316" t="s">
        <v>26</v>
      </c>
      <c r="B316" t="s">
        <v>17</v>
      </c>
      <c r="C316">
        <v>0</v>
      </c>
      <c r="D316">
        <v>0</v>
      </c>
      <c r="E316">
        <v>2</v>
      </c>
      <c r="F316">
        <v>25</v>
      </c>
      <c r="G316" t="s">
        <v>23</v>
      </c>
      <c r="H316" t="s">
        <v>19</v>
      </c>
      <c r="I316">
        <v>0</v>
      </c>
      <c r="J316">
        <v>12.5</v>
      </c>
      <c r="K316">
        <v>6.7626604949427701E-3</v>
      </c>
      <c r="L316">
        <v>0</v>
      </c>
      <c r="M316">
        <v>0</v>
      </c>
      <c r="N316">
        <v>12.5</v>
      </c>
      <c r="O316">
        <v>0</v>
      </c>
      <c r="P316">
        <v>5.4101283959542205E-4</v>
      </c>
    </row>
    <row r="317" spans="1:16" x14ac:dyDescent="0.2">
      <c r="A317" t="s">
        <v>26</v>
      </c>
      <c r="B317" t="s">
        <v>17</v>
      </c>
      <c r="C317">
        <v>0</v>
      </c>
      <c r="D317">
        <v>0</v>
      </c>
      <c r="E317">
        <v>2</v>
      </c>
      <c r="F317">
        <v>25</v>
      </c>
      <c r="G317" t="s">
        <v>23</v>
      </c>
      <c r="H317" t="s">
        <v>22</v>
      </c>
      <c r="I317">
        <v>0</v>
      </c>
      <c r="J317">
        <v>12.5</v>
      </c>
      <c r="K317">
        <v>3.8714672861014298E-3</v>
      </c>
      <c r="L317">
        <v>0</v>
      </c>
      <c r="M317">
        <v>0</v>
      </c>
      <c r="N317">
        <v>12.5</v>
      </c>
      <c r="O317">
        <v>0</v>
      </c>
      <c r="P317">
        <v>3.0971738288811497E-4</v>
      </c>
    </row>
    <row r="318" spans="1:16" x14ac:dyDescent="0.2">
      <c r="A318" t="s">
        <v>26</v>
      </c>
      <c r="B318" t="s">
        <v>17</v>
      </c>
      <c r="C318">
        <v>0</v>
      </c>
      <c r="D318">
        <v>0</v>
      </c>
      <c r="E318">
        <v>2</v>
      </c>
      <c r="F318">
        <v>50</v>
      </c>
      <c r="G318" t="s">
        <v>18</v>
      </c>
      <c r="H318" t="s">
        <v>19</v>
      </c>
      <c r="I318">
        <v>0</v>
      </c>
      <c r="J318">
        <v>11.94</v>
      </c>
      <c r="K318">
        <v>1.5741369589171699E-2</v>
      </c>
      <c r="L318">
        <v>6.0000000000000001E-3</v>
      </c>
      <c r="M318">
        <v>2.4E-2</v>
      </c>
      <c r="N318">
        <v>11.94</v>
      </c>
      <c r="O318">
        <v>2.0100502512562799E-3</v>
      </c>
      <c r="P318">
        <v>1.31837266240969E-3</v>
      </c>
    </row>
    <row r="319" spans="1:16" x14ac:dyDescent="0.2">
      <c r="A319" t="s">
        <v>26</v>
      </c>
      <c r="B319" t="s">
        <v>17</v>
      </c>
      <c r="C319">
        <v>0</v>
      </c>
      <c r="D319">
        <v>0</v>
      </c>
      <c r="E319">
        <v>2</v>
      </c>
      <c r="F319">
        <v>50</v>
      </c>
      <c r="G319" t="s">
        <v>18</v>
      </c>
      <c r="H319" t="s">
        <v>22</v>
      </c>
      <c r="I319">
        <v>0</v>
      </c>
      <c r="J319">
        <v>18.62</v>
      </c>
      <c r="K319">
        <v>2.22617987533393E-2</v>
      </c>
      <c r="L319">
        <v>0</v>
      </c>
      <c r="M319">
        <v>0</v>
      </c>
      <c r="N319">
        <v>18.62</v>
      </c>
      <c r="O319">
        <v>0</v>
      </c>
      <c r="P319">
        <v>1.19558532509878E-3</v>
      </c>
    </row>
    <row r="320" spans="1:16" x14ac:dyDescent="0.2">
      <c r="A320" t="s">
        <v>26</v>
      </c>
      <c r="B320" t="s">
        <v>17</v>
      </c>
      <c r="C320">
        <v>0</v>
      </c>
      <c r="D320">
        <v>0</v>
      </c>
      <c r="E320">
        <v>2</v>
      </c>
      <c r="F320">
        <v>50</v>
      </c>
      <c r="G320" t="s">
        <v>23</v>
      </c>
      <c r="H320" t="s">
        <v>19</v>
      </c>
      <c r="I320">
        <v>0</v>
      </c>
      <c r="J320">
        <v>25</v>
      </c>
      <c r="K320">
        <v>2.9984537394681699E-2</v>
      </c>
      <c r="L320">
        <v>0</v>
      </c>
      <c r="M320">
        <v>0</v>
      </c>
      <c r="N320">
        <v>25</v>
      </c>
      <c r="O320">
        <v>0</v>
      </c>
      <c r="P320">
        <v>1.19938149578727E-3</v>
      </c>
    </row>
    <row r="321" spans="1:16" x14ac:dyDescent="0.2">
      <c r="A321" t="s">
        <v>26</v>
      </c>
      <c r="B321" t="s">
        <v>17</v>
      </c>
      <c r="C321">
        <v>0</v>
      </c>
      <c r="D321">
        <v>0</v>
      </c>
      <c r="E321">
        <v>2</v>
      </c>
      <c r="F321">
        <v>50</v>
      </c>
      <c r="G321" t="s">
        <v>23</v>
      </c>
      <c r="H321" t="s">
        <v>22</v>
      </c>
      <c r="I321">
        <v>0</v>
      </c>
      <c r="J321">
        <v>25</v>
      </c>
      <c r="K321">
        <v>4.37866713372449E-3</v>
      </c>
      <c r="L321">
        <v>0</v>
      </c>
      <c r="M321">
        <v>0</v>
      </c>
      <c r="N321">
        <v>25</v>
      </c>
      <c r="O321">
        <v>0</v>
      </c>
      <c r="P321">
        <v>1.7514668534898001E-4</v>
      </c>
    </row>
    <row r="322" spans="1:16" x14ac:dyDescent="0.2">
      <c r="A322" t="s">
        <v>26</v>
      </c>
      <c r="B322" t="s">
        <v>17</v>
      </c>
      <c r="C322">
        <v>0</v>
      </c>
      <c r="D322">
        <v>0</v>
      </c>
      <c r="E322">
        <v>2</v>
      </c>
      <c r="F322">
        <v>75</v>
      </c>
      <c r="G322" t="s">
        <v>18</v>
      </c>
      <c r="H322" t="s">
        <v>19</v>
      </c>
      <c r="I322">
        <v>0</v>
      </c>
      <c r="J322">
        <v>15.74</v>
      </c>
      <c r="K322">
        <v>1.6521692069292299E-2</v>
      </c>
      <c r="L322">
        <v>0</v>
      </c>
      <c r="M322">
        <v>0</v>
      </c>
      <c r="N322">
        <v>15.74</v>
      </c>
      <c r="O322">
        <v>0</v>
      </c>
      <c r="P322">
        <v>1.04966277441501E-3</v>
      </c>
    </row>
    <row r="323" spans="1:16" x14ac:dyDescent="0.2">
      <c r="A323" t="s">
        <v>26</v>
      </c>
      <c r="B323" t="s">
        <v>17</v>
      </c>
      <c r="C323">
        <v>0</v>
      </c>
      <c r="D323">
        <v>0</v>
      </c>
      <c r="E323">
        <v>2</v>
      </c>
      <c r="F323">
        <v>75</v>
      </c>
      <c r="G323" t="s">
        <v>18</v>
      </c>
      <c r="H323" t="s">
        <v>22</v>
      </c>
      <c r="I323">
        <v>0</v>
      </c>
      <c r="J323">
        <v>22</v>
      </c>
      <c r="K323">
        <v>2.4378352023403198E-2</v>
      </c>
      <c r="L323">
        <v>0</v>
      </c>
      <c r="M323">
        <v>0</v>
      </c>
      <c r="N323">
        <v>22</v>
      </c>
      <c r="O323">
        <v>0</v>
      </c>
      <c r="P323">
        <v>1.1081069101546901E-3</v>
      </c>
    </row>
    <row r="324" spans="1:16" x14ac:dyDescent="0.2">
      <c r="A324" t="s">
        <v>26</v>
      </c>
      <c r="B324" t="s">
        <v>17</v>
      </c>
      <c r="C324">
        <v>0</v>
      </c>
      <c r="D324">
        <v>0</v>
      </c>
      <c r="E324">
        <v>2</v>
      </c>
      <c r="F324">
        <v>75</v>
      </c>
      <c r="G324" t="s">
        <v>23</v>
      </c>
      <c r="H324" t="s">
        <v>19</v>
      </c>
      <c r="I324">
        <v>0</v>
      </c>
      <c r="J324">
        <v>28.7</v>
      </c>
      <c r="K324">
        <v>8.9526280847073203E-2</v>
      </c>
      <c r="L324">
        <v>0</v>
      </c>
      <c r="M324">
        <v>0</v>
      </c>
      <c r="N324">
        <v>28.7</v>
      </c>
      <c r="O324">
        <v>0</v>
      </c>
      <c r="P324">
        <v>3.1193826079119599E-3</v>
      </c>
    </row>
    <row r="325" spans="1:16" x14ac:dyDescent="0.2">
      <c r="A325" t="s">
        <v>26</v>
      </c>
      <c r="B325" t="s">
        <v>17</v>
      </c>
      <c r="C325">
        <v>0</v>
      </c>
      <c r="D325">
        <v>0</v>
      </c>
      <c r="E325">
        <v>2</v>
      </c>
      <c r="F325">
        <v>75</v>
      </c>
      <c r="G325" t="s">
        <v>23</v>
      </c>
      <c r="H325" t="s">
        <v>22</v>
      </c>
      <c r="I325">
        <v>0</v>
      </c>
      <c r="J325">
        <v>36.86</v>
      </c>
      <c r="K325">
        <v>5.27259306126753E-3</v>
      </c>
      <c r="L325">
        <v>0</v>
      </c>
      <c r="M325">
        <v>0</v>
      </c>
      <c r="N325">
        <v>36.86</v>
      </c>
      <c r="O325">
        <v>0</v>
      </c>
      <c r="P325">
        <v>1.4304376183579801E-4</v>
      </c>
    </row>
    <row r="326" spans="1:16" x14ac:dyDescent="0.2">
      <c r="A326" t="s">
        <v>26</v>
      </c>
      <c r="B326" t="s">
        <v>17</v>
      </c>
      <c r="C326">
        <v>0</v>
      </c>
      <c r="D326">
        <v>0</v>
      </c>
      <c r="E326">
        <v>2</v>
      </c>
      <c r="F326">
        <v>100</v>
      </c>
      <c r="G326" t="s">
        <v>18</v>
      </c>
      <c r="H326" t="s">
        <v>19</v>
      </c>
      <c r="I326">
        <v>0</v>
      </c>
      <c r="J326">
        <v>15.8</v>
      </c>
      <c r="K326">
        <v>1.72335812290592E-2</v>
      </c>
      <c r="L326">
        <v>0</v>
      </c>
      <c r="M326">
        <v>0</v>
      </c>
      <c r="N326">
        <v>15.8</v>
      </c>
      <c r="O326">
        <v>0</v>
      </c>
      <c r="P326">
        <v>1.0907329891809601E-3</v>
      </c>
    </row>
    <row r="327" spans="1:16" x14ac:dyDescent="0.2">
      <c r="A327" t="s">
        <v>26</v>
      </c>
      <c r="B327" t="s">
        <v>17</v>
      </c>
      <c r="C327">
        <v>0</v>
      </c>
      <c r="D327">
        <v>0</v>
      </c>
      <c r="E327">
        <v>2</v>
      </c>
      <c r="F327">
        <v>100</v>
      </c>
      <c r="G327" t="s">
        <v>18</v>
      </c>
      <c r="H327" t="s">
        <v>22</v>
      </c>
      <c r="I327">
        <v>0</v>
      </c>
      <c r="J327">
        <v>23.96</v>
      </c>
      <c r="K327">
        <v>2.78396436525612E-2</v>
      </c>
      <c r="L327">
        <v>0</v>
      </c>
      <c r="M327">
        <v>0</v>
      </c>
      <c r="N327">
        <v>23.96</v>
      </c>
      <c r="O327">
        <v>0</v>
      </c>
      <c r="P327">
        <v>1.16192168833728E-3</v>
      </c>
    </row>
    <row r="328" spans="1:16" x14ac:dyDescent="0.2">
      <c r="A328" t="s">
        <v>26</v>
      </c>
      <c r="B328" t="s">
        <v>17</v>
      </c>
      <c r="C328">
        <v>0</v>
      </c>
      <c r="D328">
        <v>0</v>
      </c>
      <c r="E328">
        <v>2</v>
      </c>
      <c r="F328">
        <v>100</v>
      </c>
      <c r="G328" t="s">
        <v>23</v>
      </c>
      <c r="H328" t="s">
        <v>19</v>
      </c>
      <c r="I328">
        <v>0</v>
      </c>
      <c r="J328">
        <v>35.299999999999997</v>
      </c>
      <c r="K328">
        <v>8.9267591160300405E-2</v>
      </c>
      <c r="L328">
        <v>0</v>
      </c>
      <c r="M328">
        <v>0</v>
      </c>
      <c r="N328">
        <v>35.299999999999997</v>
      </c>
      <c r="O328">
        <v>0</v>
      </c>
      <c r="P328">
        <v>2.5288269450510002E-3</v>
      </c>
    </row>
    <row r="329" spans="1:16" x14ac:dyDescent="0.2">
      <c r="A329" t="s">
        <v>26</v>
      </c>
      <c r="B329" t="s">
        <v>17</v>
      </c>
      <c r="C329">
        <v>0</v>
      </c>
      <c r="D329">
        <v>0</v>
      </c>
      <c r="E329">
        <v>2</v>
      </c>
      <c r="F329">
        <v>100</v>
      </c>
      <c r="G329" t="s">
        <v>23</v>
      </c>
      <c r="H329" t="s">
        <v>22</v>
      </c>
      <c r="I329">
        <v>0</v>
      </c>
      <c r="J329">
        <v>46.54</v>
      </c>
      <c r="K329">
        <v>5.9730020308206896E-3</v>
      </c>
      <c r="L329">
        <v>0</v>
      </c>
      <c r="M329">
        <v>0</v>
      </c>
      <c r="N329">
        <v>46.54</v>
      </c>
      <c r="O329">
        <v>0</v>
      </c>
      <c r="P329">
        <v>1.2834125549679199E-4</v>
      </c>
    </row>
    <row r="330" spans="1:16" x14ac:dyDescent="0.2">
      <c r="A330" t="s">
        <v>26</v>
      </c>
      <c r="B330" t="s">
        <v>17</v>
      </c>
      <c r="C330">
        <v>0</v>
      </c>
      <c r="D330">
        <v>0</v>
      </c>
      <c r="E330">
        <v>5</v>
      </c>
      <c r="F330">
        <v>25</v>
      </c>
      <c r="G330" t="s">
        <v>18</v>
      </c>
      <c r="H330" t="s">
        <v>19</v>
      </c>
      <c r="I330">
        <v>0</v>
      </c>
      <c r="J330">
        <v>3.06</v>
      </c>
      <c r="K330">
        <v>1.54912244380443E-2</v>
      </c>
      <c r="L330">
        <v>0.996</v>
      </c>
      <c r="M330">
        <v>14.076000000000001</v>
      </c>
      <c r="N330">
        <v>3.06</v>
      </c>
      <c r="O330">
        <v>4.5999999999999996</v>
      </c>
      <c r="P330">
        <v>5.0624916464197204E-3</v>
      </c>
    </row>
    <row r="331" spans="1:16" x14ac:dyDescent="0.2">
      <c r="A331" t="s">
        <v>26</v>
      </c>
      <c r="B331" t="s">
        <v>17</v>
      </c>
      <c r="C331">
        <v>0</v>
      </c>
      <c r="D331">
        <v>0</v>
      </c>
      <c r="E331">
        <v>5</v>
      </c>
      <c r="F331">
        <v>25</v>
      </c>
      <c r="G331" t="s">
        <v>18</v>
      </c>
      <c r="H331" t="s">
        <v>22</v>
      </c>
      <c r="I331">
        <v>0</v>
      </c>
      <c r="J331">
        <v>5</v>
      </c>
      <c r="K331">
        <v>4.6992481203007502E-2</v>
      </c>
      <c r="L331">
        <v>0</v>
      </c>
      <c r="M331">
        <v>0</v>
      </c>
      <c r="N331">
        <v>5</v>
      </c>
      <c r="O331">
        <v>0</v>
      </c>
      <c r="P331">
        <v>9.3984962406014998E-3</v>
      </c>
    </row>
    <row r="332" spans="1:16" x14ac:dyDescent="0.2">
      <c r="A332" t="s">
        <v>26</v>
      </c>
      <c r="B332" t="s">
        <v>17</v>
      </c>
      <c r="C332">
        <v>0</v>
      </c>
      <c r="D332">
        <v>0</v>
      </c>
      <c r="E332">
        <v>5</v>
      </c>
      <c r="F332">
        <v>25</v>
      </c>
      <c r="G332" t="s">
        <v>23</v>
      </c>
      <c r="H332" t="s">
        <v>19</v>
      </c>
      <c r="I332">
        <v>0</v>
      </c>
      <c r="J332">
        <v>5</v>
      </c>
      <c r="K332">
        <v>5.7617562542537004E-3</v>
      </c>
      <c r="L332">
        <v>0</v>
      </c>
      <c r="M332">
        <v>0</v>
      </c>
      <c r="N332">
        <v>5</v>
      </c>
      <c r="O332">
        <v>0</v>
      </c>
      <c r="P332">
        <v>1.1523512508507399E-3</v>
      </c>
    </row>
    <row r="333" spans="1:16" x14ac:dyDescent="0.2">
      <c r="A333" t="s">
        <v>26</v>
      </c>
      <c r="B333" t="s">
        <v>17</v>
      </c>
      <c r="C333">
        <v>0</v>
      </c>
      <c r="D333">
        <v>0</v>
      </c>
      <c r="E333">
        <v>5</v>
      </c>
      <c r="F333">
        <v>25</v>
      </c>
      <c r="G333" t="s">
        <v>23</v>
      </c>
      <c r="H333" t="s">
        <v>22</v>
      </c>
      <c r="I333">
        <v>0</v>
      </c>
      <c r="J333">
        <v>5</v>
      </c>
      <c r="K333">
        <v>3.6697247706421999E-3</v>
      </c>
      <c r="L333">
        <v>0</v>
      </c>
      <c r="M333">
        <v>0</v>
      </c>
      <c r="N333">
        <v>5</v>
      </c>
      <c r="O333">
        <v>0</v>
      </c>
      <c r="P333">
        <v>7.3394495412844004E-4</v>
      </c>
    </row>
    <row r="334" spans="1:16" x14ac:dyDescent="0.2">
      <c r="A334" t="s">
        <v>26</v>
      </c>
      <c r="B334" t="s">
        <v>17</v>
      </c>
      <c r="C334">
        <v>0</v>
      </c>
      <c r="D334">
        <v>0</v>
      </c>
      <c r="E334">
        <v>5</v>
      </c>
      <c r="F334">
        <v>50</v>
      </c>
      <c r="G334" t="s">
        <v>18</v>
      </c>
      <c r="H334" t="s">
        <v>19</v>
      </c>
      <c r="I334">
        <v>0</v>
      </c>
      <c r="J334">
        <v>4.76</v>
      </c>
      <c r="K334">
        <v>1.562995819798E-2</v>
      </c>
      <c r="L334">
        <v>0.96199999999999997</v>
      </c>
      <c r="M334">
        <v>9.8680000000000003</v>
      </c>
      <c r="N334">
        <v>4.76</v>
      </c>
      <c r="O334">
        <v>2.0731092436974801</v>
      </c>
      <c r="P334">
        <v>3.2836046634411799E-3</v>
      </c>
    </row>
    <row r="335" spans="1:16" x14ac:dyDescent="0.2">
      <c r="A335" t="s">
        <v>26</v>
      </c>
      <c r="B335" t="s">
        <v>17</v>
      </c>
      <c r="C335">
        <v>0</v>
      </c>
      <c r="D335">
        <v>0</v>
      </c>
      <c r="E335">
        <v>5</v>
      </c>
      <c r="F335">
        <v>50</v>
      </c>
      <c r="G335" t="s">
        <v>18</v>
      </c>
      <c r="H335" t="s">
        <v>22</v>
      </c>
      <c r="I335">
        <v>0</v>
      </c>
      <c r="J335">
        <v>9.16</v>
      </c>
      <c r="K335">
        <v>3.5587188612099599E-2</v>
      </c>
      <c r="L335">
        <v>0</v>
      </c>
      <c r="M335">
        <v>0</v>
      </c>
      <c r="N335">
        <v>9.16</v>
      </c>
      <c r="O335">
        <v>0</v>
      </c>
      <c r="P335">
        <v>3.88506425896284E-3</v>
      </c>
    </row>
    <row r="336" spans="1:16" x14ac:dyDescent="0.2">
      <c r="A336" t="s">
        <v>26</v>
      </c>
      <c r="B336" t="s">
        <v>17</v>
      </c>
      <c r="C336">
        <v>0</v>
      </c>
      <c r="D336">
        <v>0</v>
      </c>
      <c r="E336">
        <v>5</v>
      </c>
      <c r="F336">
        <v>50</v>
      </c>
      <c r="G336" t="s">
        <v>23</v>
      </c>
      <c r="H336" t="s">
        <v>19</v>
      </c>
      <c r="I336">
        <v>0</v>
      </c>
      <c r="J336">
        <v>10</v>
      </c>
      <c r="K336">
        <v>6.5830902445431702E-3</v>
      </c>
      <c r="L336">
        <v>0</v>
      </c>
      <c r="M336">
        <v>0</v>
      </c>
      <c r="N336">
        <v>10</v>
      </c>
      <c r="O336">
        <v>0</v>
      </c>
      <c r="P336">
        <v>6.5830902445431698E-4</v>
      </c>
    </row>
    <row r="337" spans="1:16" x14ac:dyDescent="0.2">
      <c r="A337" t="s">
        <v>26</v>
      </c>
      <c r="B337" t="s">
        <v>17</v>
      </c>
      <c r="C337">
        <v>0</v>
      </c>
      <c r="D337">
        <v>0</v>
      </c>
      <c r="E337">
        <v>5</v>
      </c>
      <c r="F337">
        <v>50</v>
      </c>
      <c r="G337" t="s">
        <v>23</v>
      </c>
      <c r="H337" t="s">
        <v>22</v>
      </c>
      <c r="I337">
        <v>0</v>
      </c>
      <c r="J337">
        <v>10</v>
      </c>
      <c r="K337">
        <v>3.83818223689261E-3</v>
      </c>
      <c r="L337">
        <v>0</v>
      </c>
      <c r="M337">
        <v>0</v>
      </c>
      <c r="N337">
        <v>10</v>
      </c>
      <c r="O337">
        <v>0</v>
      </c>
      <c r="P337">
        <v>3.8381822368926098E-4</v>
      </c>
    </row>
    <row r="338" spans="1:16" x14ac:dyDescent="0.2">
      <c r="A338" t="s">
        <v>26</v>
      </c>
      <c r="B338" t="s">
        <v>17</v>
      </c>
      <c r="C338">
        <v>0</v>
      </c>
      <c r="D338">
        <v>0</v>
      </c>
      <c r="E338">
        <v>5</v>
      </c>
      <c r="F338">
        <v>75</v>
      </c>
      <c r="G338" t="s">
        <v>18</v>
      </c>
      <c r="H338" t="s">
        <v>19</v>
      </c>
      <c r="I338">
        <v>0</v>
      </c>
      <c r="J338">
        <v>5.0999999999999996</v>
      </c>
      <c r="K338">
        <v>1.5897980664970199E-2</v>
      </c>
      <c r="L338">
        <v>0.872</v>
      </c>
      <c r="M338">
        <v>7.1559999999999997</v>
      </c>
      <c r="N338">
        <v>5.0999999999999996</v>
      </c>
      <c r="O338">
        <v>1.4031372549019601</v>
      </c>
      <c r="P338">
        <v>3.1172511107784599E-3</v>
      </c>
    </row>
    <row r="339" spans="1:16" x14ac:dyDescent="0.2">
      <c r="A339" t="s">
        <v>26</v>
      </c>
      <c r="B339" t="s">
        <v>17</v>
      </c>
      <c r="C339">
        <v>0</v>
      </c>
      <c r="D339">
        <v>0</v>
      </c>
      <c r="E339">
        <v>5</v>
      </c>
      <c r="F339">
        <v>75</v>
      </c>
      <c r="G339" t="s">
        <v>18</v>
      </c>
      <c r="H339" t="s">
        <v>22</v>
      </c>
      <c r="I339">
        <v>0</v>
      </c>
      <c r="J339">
        <v>10.119999999999999</v>
      </c>
      <c r="K339">
        <v>3.5612535612535599E-2</v>
      </c>
      <c r="L339">
        <v>0</v>
      </c>
      <c r="M339">
        <v>0</v>
      </c>
      <c r="N339">
        <v>10.119999999999999</v>
      </c>
      <c r="O339">
        <v>0</v>
      </c>
      <c r="P339">
        <v>3.5190252581556898E-3</v>
      </c>
    </row>
    <row r="340" spans="1:16" x14ac:dyDescent="0.2">
      <c r="A340" t="s">
        <v>26</v>
      </c>
      <c r="B340" t="s">
        <v>17</v>
      </c>
      <c r="C340">
        <v>0</v>
      </c>
      <c r="D340">
        <v>0</v>
      </c>
      <c r="E340">
        <v>5</v>
      </c>
      <c r="F340">
        <v>75</v>
      </c>
      <c r="G340" t="s">
        <v>23</v>
      </c>
      <c r="H340" t="s">
        <v>19</v>
      </c>
      <c r="I340">
        <v>0</v>
      </c>
      <c r="J340">
        <v>14.52</v>
      </c>
      <c r="K340">
        <v>7.4751433192308502E-3</v>
      </c>
      <c r="L340">
        <v>0</v>
      </c>
      <c r="M340">
        <v>0</v>
      </c>
      <c r="N340">
        <v>14.52</v>
      </c>
      <c r="O340">
        <v>0</v>
      </c>
      <c r="P340">
        <v>5.1481703300487996E-4</v>
      </c>
    </row>
    <row r="341" spans="1:16" x14ac:dyDescent="0.2">
      <c r="A341" t="s">
        <v>26</v>
      </c>
      <c r="B341" t="s">
        <v>17</v>
      </c>
      <c r="C341">
        <v>0</v>
      </c>
      <c r="D341">
        <v>0</v>
      </c>
      <c r="E341">
        <v>5</v>
      </c>
      <c r="F341">
        <v>75</v>
      </c>
      <c r="G341" t="s">
        <v>23</v>
      </c>
      <c r="H341" t="s">
        <v>22</v>
      </c>
      <c r="I341">
        <v>0</v>
      </c>
      <c r="J341">
        <v>14.7</v>
      </c>
      <c r="K341">
        <v>3.9682539682539698E-3</v>
      </c>
      <c r="L341">
        <v>0</v>
      </c>
      <c r="M341">
        <v>0</v>
      </c>
      <c r="N341">
        <v>14.7</v>
      </c>
      <c r="O341">
        <v>0</v>
      </c>
      <c r="P341">
        <v>2.69949249541086E-4</v>
      </c>
    </row>
    <row r="342" spans="1:16" x14ac:dyDescent="0.2">
      <c r="A342" t="s">
        <v>26</v>
      </c>
      <c r="B342" t="s">
        <v>17</v>
      </c>
      <c r="C342">
        <v>0</v>
      </c>
      <c r="D342">
        <v>0</v>
      </c>
      <c r="E342">
        <v>5</v>
      </c>
      <c r="F342">
        <v>100</v>
      </c>
      <c r="G342" t="s">
        <v>18</v>
      </c>
      <c r="H342" t="s">
        <v>19</v>
      </c>
      <c r="I342">
        <v>0</v>
      </c>
      <c r="J342">
        <v>6.06</v>
      </c>
      <c r="K342">
        <v>1.6226770248098599E-2</v>
      </c>
      <c r="L342">
        <v>0.79200000000000004</v>
      </c>
      <c r="M342">
        <v>5.048</v>
      </c>
      <c r="N342">
        <v>6.06</v>
      </c>
      <c r="O342">
        <v>0.833003300330033</v>
      </c>
      <c r="P342">
        <v>2.6776848594222101E-3</v>
      </c>
    </row>
    <row r="343" spans="1:16" x14ac:dyDescent="0.2">
      <c r="A343" t="s">
        <v>26</v>
      </c>
      <c r="B343" t="s">
        <v>17</v>
      </c>
      <c r="C343">
        <v>0</v>
      </c>
      <c r="D343">
        <v>0</v>
      </c>
      <c r="E343">
        <v>5</v>
      </c>
      <c r="F343">
        <v>100</v>
      </c>
      <c r="G343" t="s">
        <v>18</v>
      </c>
      <c r="H343" t="s">
        <v>22</v>
      </c>
      <c r="I343">
        <v>0</v>
      </c>
      <c r="J343">
        <v>10.64</v>
      </c>
      <c r="K343">
        <v>4.1876046901172498E-2</v>
      </c>
      <c r="L343">
        <v>0</v>
      </c>
      <c r="M343">
        <v>0</v>
      </c>
      <c r="N343">
        <v>10.64</v>
      </c>
      <c r="O343">
        <v>0</v>
      </c>
      <c r="P343">
        <v>3.9357186937192196E-3</v>
      </c>
    </row>
    <row r="344" spans="1:16" x14ac:dyDescent="0.2">
      <c r="A344" t="s">
        <v>26</v>
      </c>
      <c r="B344" t="s">
        <v>17</v>
      </c>
      <c r="C344">
        <v>0</v>
      </c>
      <c r="D344">
        <v>0</v>
      </c>
      <c r="E344">
        <v>5</v>
      </c>
      <c r="F344">
        <v>100</v>
      </c>
      <c r="G344" t="s">
        <v>23</v>
      </c>
      <c r="H344" t="s">
        <v>19</v>
      </c>
      <c r="I344">
        <v>0</v>
      </c>
      <c r="J344">
        <v>17.600000000000001</v>
      </c>
      <c r="K344">
        <v>7.8328445033392594E-3</v>
      </c>
      <c r="L344">
        <v>0</v>
      </c>
      <c r="M344">
        <v>0</v>
      </c>
      <c r="N344">
        <v>17.600000000000001</v>
      </c>
      <c r="O344">
        <v>0</v>
      </c>
      <c r="P344">
        <v>4.4504798314427602E-4</v>
      </c>
    </row>
    <row r="345" spans="1:16" x14ac:dyDescent="0.2">
      <c r="A345" t="s">
        <v>26</v>
      </c>
      <c r="B345" t="s">
        <v>17</v>
      </c>
      <c r="C345">
        <v>0</v>
      </c>
      <c r="D345">
        <v>0</v>
      </c>
      <c r="E345">
        <v>5</v>
      </c>
      <c r="F345">
        <v>100</v>
      </c>
      <c r="G345" t="s">
        <v>23</v>
      </c>
      <c r="H345" t="s">
        <v>22</v>
      </c>
      <c r="I345">
        <v>0</v>
      </c>
      <c r="J345">
        <v>18.739999999999998</v>
      </c>
      <c r="K345">
        <v>4.0663630448926503E-3</v>
      </c>
      <c r="L345">
        <v>0</v>
      </c>
      <c r="M345">
        <v>0</v>
      </c>
      <c r="N345">
        <v>18.739999999999998</v>
      </c>
      <c r="O345">
        <v>0</v>
      </c>
      <c r="P345">
        <v>2.16988422886481E-4</v>
      </c>
    </row>
    <row r="346" spans="1:16" x14ac:dyDescent="0.2">
      <c r="A346" t="s">
        <v>26</v>
      </c>
      <c r="B346" t="s">
        <v>24</v>
      </c>
      <c r="C346">
        <v>1</v>
      </c>
      <c r="D346">
        <v>12</v>
      </c>
      <c r="E346">
        <v>1</v>
      </c>
      <c r="F346">
        <v>12</v>
      </c>
      <c r="G346" t="s">
        <v>18</v>
      </c>
      <c r="H346" t="s">
        <v>19</v>
      </c>
      <c r="I346">
        <v>1.32</v>
      </c>
      <c r="J346">
        <v>1.36</v>
      </c>
      <c r="K346">
        <v>1.12303929490528E-2</v>
      </c>
      <c r="L346">
        <v>1</v>
      </c>
      <c r="M346">
        <v>87.932000000000002</v>
      </c>
      <c r="N346">
        <v>2.68</v>
      </c>
      <c r="O346">
        <v>32.810447761193998</v>
      </c>
      <c r="P346">
        <v>4.1904451302435903E-3</v>
      </c>
    </row>
    <row r="347" spans="1:16" x14ac:dyDescent="0.2">
      <c r="A347" t="s">
        <v>26</v>
      </c>
      <c r="B347" t="s">
        <v>24</v>
      </c>
      <c r="C347">
        <v>1</v>
      </c>
      <c r="D347">
        <v>12</v>
      </c>
      <c r="E347">
        <v>1</v>
      </c>
      <c r="F347">
        <v>12</v>
      </c>
      <c r="G347" t="s">
        <v>18</v>
      </c>
      <c r="H347" t="s">
        <v>22</v>
      </c>
      <c r="I347">
        <v>1.48</v>
      </c>
      <c r="J347">
        <v>1.46</v>
      </c>
      <c r="K347">
        <v>1.13507377979569E-2</v>
      </c>
      <c r="L347">
        <v>1</v>
      </c>
      <c r="M347">
        <v>86</v>
      </c>
      <c r="N347">
        <v>2.94</v>
      </c>
      <c r="O347">
        <v>29.251700680272101</v>
      </c>
      <c r="P347">
        <v>3.86079516937308E-3</v>
      </c>
    </row>
    <row r="348" spans="1:16" x14ac:dyDescent="0.2">
      <c r="A348" t="s">
        <v>26</v>
      </c>
      <c r="B348" t="s">
        <v>24</v>
      </c>
      <c r="C348">
        <v>1</v>
      </c>
      <c r="D348">
        <v>12</v>
      </c>
      <c r="E348">
        <v>1</v>
      </c>
      <c r="F348">
        <v>12</v>
      </c>
      <c r="G348" t="s">
        <v>23</v>
      </c>
      <c r="H348" t="s">
        <v>19</v>
      </c>
      <c r="I348">
        <v>1.78</v>
      </c>
      <c r="J348">
        <v>1.74</v>
      </c>
      <c r="K348">
        <v>1.1599769042174701E-2</v>
      </c>
      <c r="L348">
        <v>1</v>
      </c>
      <c r="M348">
        <v>83.171999999999997</v>
      </c>
      <c r="N348">
        <v>3.52</v>
      </c>
      <c r="O348">
        <v>23.628409090909098</v>
      </c>
      <c r="P348">
        <v>3.2953889324359802E-3</v>
      </c>
    </row>
    <row r="349" spans="1:16" x14ac:dyDescent="0.2">
      <c r="A349" t="s">
        <v>26</v>
      </c>
      <c r="B349" t="s">
        <v>24</v>
      </c>
      <c r="C349">
        <v>1</v>
      </c>
      <c r="D349">
        <v>12</v>
      </c>
      <c r="E349">
        <v>1</v>
      </c>
      <c r="F349">
        <v>12</v>
      </c>
      <c r="G349" t="s">
        <v>23</v>
      </c>
      <c r="H349" t="s">
        <v>22</v>
      </c>
      <c r="I349">
        <v>2.2999999999999998</v>
      </c>
      <c r="J349">
        <v>2.2200000000000002</v>
      </c>
      <c r="K349">
        <v>1.2045290291495999E-2</v>
      </c>
      <c r="L349">
        <v>1</v>
      </c>
      <c r="M349">
        <v>78</v>
      </c>
      <c r="N349">
        <v>4.5199999999999996</v>
      </c>
      <c r="O349">
        <v>17.256637168141602</v>
      </c>
      <c r="P349">
        <v>2.6648872326318599E-3</v>
      </c>
    </row>
    <row r="350" spans="1:16" x14ac:dyDescent="0.2">
      <c r="A350" t="s">
        <v>26</v>
      </c>
      <c r="B350" t="s">
        <v>24</v>
      </c>
      <c r="C350">
        <v>1</v>
      </c>
      <c r="D350">
        <v>25</v>
      </c>
      <c r="E350">
        <v>1</v>
      </c>
      <c r="F350">
        <v>25</v>
      </c>
      <c r="G350" t="s">
        <v>18</v>
      </c>
      <c r="H350" t="s">
        <v>19</v>
      </c>
      <c r="I350">
        <v>1.42</v>
      </c>
      <c r="J350">
        <v>1.4</v>
      </c>
      <c r="K350">
        <v>1.09426353337936E-2</v>
      </c>
      <c r="L350">
        <v>1</v>
      </c>
      <c r="M350">
        <v>92.903999999999996</v>
      </c>
      <c r="N350">
        <v>2.82</v>
      </c>
      <c r="O350">
        <v>32.944680851063801</v>
      </c>
      <c r="P350">
        <v>3.88036713964312E-3</v>
      </c>
    </row>
    <row r="351" spans="1:16" x14ac:dyDescent="0.2">
      <c r="A351" t="s">
        <v>26</v>
      </c>
      <c r="B351" t="s">
        <v>24</v>
      </c>
      <c r="C351">
        <v>1</v>
      </c>
      <c r="D351">
        <v>25</v>
      </c>
      <c r="E351">
        <v>1</v>
      </c>
      <c r="F351">
        <v>25</v>
      </c>
      <c r="G351" t="s">
        <v>18</v>
      </c>
      <c r="H351" t="s">
        <v>22</v>
      </c>
      <c r="I351">
        <v>1.54</v>
      </c>
      <c r="J351">
        <v>1.46</v>
      </c>
      <c r="K351">
        <v>1.0976948408342501E-2</v>
      </c>
      <c r="L351">
        <v>1</v>
      </c>
      <c r="M351">
        <v>92</v>
      </c>
      <c r="N351">
        <v>3</v>
      </c>
      <c r="O351">
        <v>30.6666666666667</v>
      </c>
      <c r="P351">
        <v>3.65898280278083E-3</v>
      </c>
    </row>
    <row r="352" spans="1:16" x14ac:dyDescent="0.2">
      <c r="A352" t="s">
        <v>26</v>
      </c>
      <c r="B352" t="s">
        <v>24</v>
      </c>
      <c r="C352">
        <v>1</v>
      </c>
      <c r="D352">
        <v>25</v>
      </c>
      <c r="E352">
        <v>1</v>
      </c>
      <c r="F352">
        <v>25</v>
      </c>
      <c r="G352" t="s">
        <v>23</v>
      </c>
      <c r="H352" t="s">
        <v>19</v>
      </c>
      <c r="I352">
        <v>1.68</v>
      </c>
      <c r="J352">
        <v>1.34</v>
      </c>
      <c r="K352">
        <v>1.1038485685421101E-2</v>
      </c>
      <c r="L352">
        <v>1</v>
      </c>
      <c r="M352">
        <v>90.164000000000001</v>
      </c>
      <c r="N352">
        <v>3.02</v>
      </c>
      <c r="O352">
        <v>29.8556291390728</v>
      </c>
      <c r="P352">
        <v>3.6551277104043302E-3</v>
      </c>
    </row>
    <row r="353" spans="1:16" x14ac:dyDescent="0.2">
      <c r="A353" t="s">
        <v>26</v>
      </c>
      <c r="B353" t="s">
        <v>24</v>
      </c>
      <c r="C353">
        <v>1</v>
      </c>
      <c r="D353">
        <v>25</v>
      </c>
      <c r="E353">
        <v>1</v>
      </c>
      <c r="F353">
        <v>25</v>
      </c>
      <c r="G353" t="s">
        <v>23</v>
      </c>
      <c r="H353" t="s">
        <v>22</v>
      </c>
      <c r="I353">
        <v>1.84</v>
      </c>
      <c r="J353">
        <v>1.5</v>
      </c>
      <c r="K353">
        <v>1.10889332446219E-2</v>
      </c>
      <c r="L353">
        <v>1</v>
      </c>
      <c r="M353">
        <v>90</v>
      </c>
      <c r="N353">
        <v>3.34</v>
      </c>
      <c r="O353">
        <v>26.946107784431099</v>
      </c>
      <c r="P353">
        <v>3.3200398935993602E-3</v>
      </c>
    </row>
    <row r="354" spans="1:16" x14ac:dyDescent="0.2">
      <c r="A354" t="s">
        <v>26</v>
      </c>
      <c r="B354" t="s">
        <v>24</v>
      </c>
      <c r="C354">
        <v>1</v>
      </c>
      <c r="D354">
        <v>37</v>
      </c>
      <c r="E354">
        <v>1</v>
      </c>
      <c r="F354">
        <v>37</v>
      </c>
      <c r="G354" t="s">
        <v>18</v>
      </c>
      <c r="H354" t="s">
        <v>19</v>
      </c>
      <c r="I354">
        <v>1.48</v>
      </c>
      <c r="J354">
        <v>1.3</v>
      </c>
      <c r="K354">
        <v>1.08534861298681E-2</v>
      </c>
      <c r="L354">
        <v>1</v>
      </c>
      <c r="M354">
        <v>93.775999999999996</v>
      </c>
      <c r="N354">
        <v>2.78</v>
      </c>
      <c r="O354">
        <v>33.732374100719397</v>
      </c>
      <c r="P354">
        <v>3.9041317013914002E-3</v>
      </c>
    </row>
    <row r="355" spans="1:16" x14ac:dyDescent="0.2">
      <c r="A355" t="s">
        <v>26</v>
      </c>
      <c r="B355" t="s">
        <v>24</v>
      </c>
      <c r="C355">
        <v>1</v>
      </c>
      <c r="D355">
        <v>37</v>
      </c>
      <c r="E355">
        <v>1</v>
      </c>
      <c r="F355">
        <v>37</v>
      </c>
      <c r="G355" t="s">
        <v>18</v>
      </c>
      <c r="H355" t="s">
        <v>22</v>
      </c>
      <c r="I355">
        <v>1.56</v>
      </c>
      <c r="J355">
        <v>1.32</v>
      </c>
      <c r="K355">
        <v>1.0869565217391301E-2</v>
      </c>
      <c r="L355">
        <v>1</v>
      </c>
      <c r="M355">
        <v>92</v>
      </c>
      <c r="N355">
        <v>2.88</v>
      </c>
      <c r="O355">
        <v>31.9444444444444</v>
      </c>
      <c r="P355">
        <v>3.7741545893719801E-3</v>
      </c>
    </row>
    <row r="356" spans="1:16" x14ac:dyDescent="0.2">
      <c r="A356" t="s">
        <v>26</v>
      </c>
      <c r="B356" t="s">
        <v>24</v>
      </c>
      <c r="C356">
        <v>1</v>
      </c>
      <c r="D356">
        <v>37</v>
      </c>
      <c r="E356">
        <v>1</v>
      </c>
      <c r="F356">
        <v>37</v>
      </c>
      <c r="G356" t="s">
        <v>23</v>
      </c>
      <c r="H356" t="s">
        <v>19</v>
      </c>
      <c r="I356">
        <v>1.66</v>
      </c>
      <c r="J356">
        <v>1.24</v>
      </c>
      <c r="K356">
        <v>1.0923118388314799E-2</v>
      </c>
      <c r="L356">
        <v>1</v>
      </c>
      <c r="M356">
        <v>92</v>
      </c>
      <c r="N356">
        <v>2.9</v>
      </c>
      <c r="O356">
        <v>31.724137931034502</v>
      </c>
      <c r="P356">
        <v>3.7665925476947598E-3</v>
      </c>
    </row>
    <row r="357" spans="1:16" x14ac:dyDescent="0.2">
      <c r="A357" t="s">
        <v>26</v>
      </c>
      <c r="B357" t="s">
        <v>24</v>
      </c>
      <c r="C357">
        <v>1</v>
      </c>
      <c r="D357">
        <v>37</v>
      </c>
      <c r="E357">
        <v>1</v>
      </c>
      <c r="F357">
        <v>37</v>
      </c>
      <c r="G357" t="s">
        <v>23</v>
      </c>
      <c r="H357" t="s">
        <v>22</v>
      </c>
      <c r="I357">
        <v>1.8</v>
      </c>
      <c r="J357">
        <v>1.28</v>
      </c>
      <c r="K357">
        <v>1.09409190371991E-2</v>
      </c>
      <c r="L357">
        <v>1</v>
      </c>
      <c r="M357">
        <v>92</v>
      </c>
      <c r="N357">
        <v>3.08</v>
      </c>
      <c r="O357">
        <v>29.870129870129901</v>
      </c>
      <c r="P357">
        <v>3.55224644064907E-3</v>
      </c>
    </row>
    <row r="358" spans="1:16" x14ac:dyDescent="0.2">
      <c r="A358" t="s">
        <v>26</v>
      </c>
      <c r="B358" t="s">
        <v>24</v>
      </c>
      <c r="C358">
        <v>1</v>
      </c>
      <c r="D358">
        <v>50</v>
      </c>
      <c r="E358">
        <v>1</v>
      </c>
      <c r="F358">
        <v>50</v>
      </c>
      <c r="G358" t="s">
        <v>18</v>
      </c>
      <c r="H358" t="s">
        <v>19</v>
      </c>
      <c r="I358">
        <v>1.5</v>
      </c>
      <c r="J358">
        <v>1.34</v>
      </c>
      <c r="K358">
        <v>1.08156657118069E-2</v>
      </c>
      <c r="L358">
        <v>1</v>
      </c>
      <c r="M358">
        <v>94.135999999999996</v>
      </c>
      <c r="N358">
        <v>2.84</v>
      </c>
      <c r="O358">
        <v>33.146478873239403</v>
      </c>
      <c r="P358">
        <v>3.8083329971151099E-3</v>
      </c>
    </row>
    <row r="359" spans="1:16" x14ac:dyDescent="0.2">
      <c r="A359" t="s">
        <v>26</v>
      </c>
      <c r="B359" t="s">
        <v>24</v>
      </c>
      <c r="C359">
        <v>1</v>
      </c>
      <c r="D359">
        <v>50</v>
      </c>
      <c r="E359">
        <v>1</v>
      </c>
      <c r="F359">
        <v>50</v>
      </c>
      <c r="G359" t="s">
        <v>18</v>
      </c>
      <c r="H359" t="s">
        <v>22</v>
      </c>
      <c r="I359">
        <v>1.56</v>
      </c>
      <c r="J359">
        <v>1.32</v>
      </c>
      <c r="K359">
        <v>1.0827197921178E-2</v>
      </c>
      <c r="L359">
        <v>1</v>
      </c>
      <c r="M359">
        <v>94</v>
      </c>
      <c r="N359">
        <v>2.88</v>
      </c>
      <c r="O359">
        <v>32.6388888888889</v>
      </c>
      <c r="P359">
        <v>3.7594437226312499E-3</v>
      </c>
    </row>
    <row r="360" spans="1:16" x14ac:dyDescent="0.2">
      <c r="A360" t="s">
        <v>26</v>
      </c>
      <c r="B360" t="s">
        <v>24</v>
      </c>
      <c r="C360">
        <v>1</v>
      </c>
      <c r="D360">
        <v>50</v>
      </c>
      <c r="E360">
        <v>1</v>
      </c>
      <c r="F360">
        <v>50</v>
      </c>
      <c r="G360" t="s">
        <v>23</v>
      </c>
      <c r="H360" t="s">
        <v>19</v>
      </c>
      <c r="I360">
        <v>1.64</v>
      </c>
      <c r="J360">
        <v>1.24</v>
      </c>
      <c r="K360">
        <v>1.0866143626334699E-2</v>
      </c>
      <c r="L360">
        <v>1</v>
      </c>
      <c r="M360">
        <v>92.16</v>
      </c>
      <c r="N360">
        <v>2.88</v>
      </c>
      <c r="O360">
        <v>32</v>
      </c>
      <c r="P360">
        <v>3.7729665369217501E-3</v>
      </c>
    </row>
    <row r="361" spans="1:16" x14ac:dyDescent="0.2">
      <c r="A361" t="s">
        <v>26</v>
      </c>
      <c r="B361" t="s">
        <v>24</v>
      </c>
      <c r="C361">
        <v>1</v>
      </c>
      <c r="D361">
        <v>50</v>
      </c>
      <c r="E361">
        <v>1</v>
      </c>
      <c r="F361">
        <v>50</v>
      </c>
      <c r="G361" t="s">
        <v>23</v>
      </c>
      <c r="H361" t="s">
        <v>22</v>
      </c>
      <c r="I361">
        <v>1.74</v>
      </c>
      <c r="J361">
        <v>1.28</v>
      </c>
      <c r="K361">
        <v>1.08813928182807E-2</v>
      </c>
      <c r="L361">
        <v>1</v>
      </c>
      <c r="M361">
        <v>92</v>
      </c>
      <c r="N361">
        <v>3.02</v>
      </c>
      <c r="O361">
        <v>30.463576158940398</v>
      </c>
      <c r="P361">
        <v>3.6031102047287202E-3</v>
      </c>
    </row>
    <row r="362" spans="1:16" x14ac:dyDescent="0.2">
      <c r="A362" t="s">
        <v>26</v>
      </c>
      <c r="B362" t="s">
        <v>24</v>
      </c>
      <c r="C362">
        <v>2</v>
      </c>
      <c r="D362">
        <v>12</v>
      </c>
      <c r="E362">
        <v>2</v>
      </c>
      <c r="F362">
        <v>12</v>
      </c>
      <c r="G362" t="s">
        <v>18</v>
      </c>
      <c r="H362" t="s">
        <v>19</v>
      </c>
      <c r="I362">
        <v>1.1599999999999999</v>
      </c>
      <c r="J362">
        <v>1.1599999999999999</v>
      </c>
      <c r="K362">
        <v>1.15982280898637E-2</v>
      </c>
      <c r="L362">
        <v>1</v>
      </c>
      <c r="M362">
        <v>81.352000000000004</v>
      </c>
      <c r="N362">
        <v>2.3199999999999998</v>
      </c>
      <c r="O362">
        <v>35.065517241379297</v>
      </c>
      <c r="P362">
        <v>4.9992362456309199E-3</v>
      </c>
    </row>
    <row r="363" spans="1:16" x14ac:dyDescent="0.2">
      <c r="A363" t="s">
        <v>26</v>
      </c>
      <c r="B363" t="s">
        <v>24</v>
      </c>
      <c r="C363">
        <v>2</v>
      </c>
      <c r="D363">
        <v>12</v>
      </c>
      <c r="E363">
        <v>2</v>
      </c>
      <c r="F363">
        <v>12</v>
      </c>
      <c r="G363" t="s">
        <v>18</v>
      </c>
      <c r="H363" t="s">
        <v>22</v>
      </c>
      <c r="I363">
        <v>1.38</v>
      </c>
      <c r="J363">
        <v>1.38</v>
      </c>
      <c r="K363">
        <v>1.1944577161968501E-2</v>
      </c>
      <c r="L363">
        <v>1</v>
      </c>
      <c r="M363">
        <v>78</v>
      </c>
      <c r="N363">
        <v>2.76</v>
      </c>
      <c r="O363">
        <v>28.260869565217401</v>
      </c>
      <c r="P363">
        <v>4.3277453485392999E-3</v>
      </c>
    </row>
    <row r="364" spans="1:16" x14ac:dyDescent="0.2">
      <c r="A364" t="s">
        <v>26</v>
      </c>
      <c r="B364" t="s">
        <v>24</v>
      </c>
      <c r="C364">
        <v>2</v>
      </c>
      <c r="D364">
        <v>12</v>
      </c>
      <c r="E364">
        <v>2</v>
      </c>
      <c r="F364">
        <v>12</v>
      </c>
      <c r="G364" t="s">
        <v>23</v>
      </c>
      <c r="H364" t="s">
        <v>19</v>
      </c>
      <c r="I364">
        <v>2.1800000000000002</v>
      </c>
      <c r="J364">
        <v>1.76</v>
      </c>
      <c r="K364">
        <v>1.35840802459508E-2</v>
      </c>
      <c r="L364">
        <v>1</v>
      </c>
      <c r="M364">
        <v>62.948</v>
      </c>
      <c r="N364">
        <v>3.94</v>
      </c>
      <c r="O364">
        <v>15.9766497461929</v>
      </c>
      <c r="P364">
        <v>3.4477361030331999E-3</v>
      </c>
    </row>
    <row r="365" spans="1:16" x14ac:dyDescent="0.2">
      <c r="A365" t="s">
        <v>26</v>
      </c>
      <c r="B365" t="s">
        <v>24</v>
      </c>
      <c r="C365">
        <v>2</v>
      </c>
      <c r="D365">
        <v>12</v>
      </c>
      <c r="E365">
        <v>2</v>
      </c>
      <c r="F365">
        <v>12</v>
      </c>
      <c r="G365" t="s">
        <v>23</v>
      </c>
      <c r="H365" t="s">
        <v>22</v>
      </c>
      <c r="I365">
        <v>6</v>
      </c>
      <c r="J365">
        <v>6</v>
      </c>
      <c r="K365">
        <v>5.7123272021021403E-3</v>
      </c>
      <c r="L365">
        <v>0</v>
      </c>
      <c r="M365">
        <v>0</v>
      </c>
      <c r="N365">
        <v>12</v>
      </c>
      <c r="O365">
        <v>0</v>
      </c>
      <c r="P365">
        <v>4.7602726684184502E-4</v>
      </c>
    </row>
    <row r="366" spans="1:16" x14ac:dyDescent="0.2">
      <c r="A366" t="s">
        <v>26</v>
      </c>
      <c r="B366" t="s">
        <v>24</v>
      </c>
      <c r="C366">
        <v>2</v>
      </c>
      <c r="D366">
        <v>25</v>
      </c>
      <c r="E366">
        <v>2</v>
      </c>
      <c r="F366">
        <v>25</v>
      </c>
      <c r="G366" t="s">
        <v>18</v>
      </c>
      <c r="H366" t="s">
        <v>19</v>
      </c>
      <c r="I366">
        <v>1.34</v>
      </c>
      <c r="J366">
        <v>1.36</v>
      </c>
      <c r="K366">
        <v>1.1128575192586299E-2</v>
      </c>
      <c r="L366">
        <v>1</v>
      </c>
      <c r="M366">
        <v>89.14</v>
      </c>
      <c r="N366">
        <v>2.7</v>
      </c>
      <c r="O366">
        <v>33.014814814814798</v>
      </c>
      <c r="P366">
        <v>4.1216945157727001E-3</v>
      </c>
    </row>
    <row r="367" spans="1:16" x14ac:dyDescent="0.2">
      <c r="A367" t="s">
        <v>26</v>
      </c>
      <c r="B367" t="s">
        <v>24</v>
      </c>
      <c r="C367">
        <v>2</v>
      </c>
      <c r="D367">
        <v>25</v>
      </c>
      <c r="E367">
        <v>2</v>
      </c>
      <c r="F367">
        <v>25</v>
      </c>
      <c r="G367" t="s">
        <v>18</v>
      </c>
      <c r="H367" t="s">
        <v>22</v>
      </c>
      <c r="I367">
        <v>1.46</v>
      </c>
      <c r="J367">
        <v>1.44</v>
      </c>
      <c r="K367">
        <v>1.12057373375168E-2</v>
      </c>
      <c r="L367">
        <v>1</v>
      </c>
      <c r="M367">
        <v>88</v>
      </c>
      <c r="N367">
        <v>2.9</v>
      </c>
      <c r="O367">
        <v>30.3448275862069</v>
      </c>
      <c r="P367">
        <v>3.8640473577644199E-3</v>
      </c>
    </row>
    <row r="368" spans="1:16" x14ac:dyDescent="0.2">
      <c r="A368" t="s">
        <v>26</v>
      </c>
      <c r="B368" t="s">
        <v>24</v>
      </c>
      <c r="C368">
        <v>2</v>
      </c>
      <c r="D368">
        <v>25</v>
      </c>
      <c r="E368">
        <v>2</v>
      </c>
      <c r="F368">
        <v>25</v>
      </c>
      <c r="G368" t="s">
        <v>23</v>
      </c>
      <c r="H368" t="s">
        <v>19</v>
      </c>
      <c r="I368">
        <v>1.7</v>
      </c>
      <c r="J368">
        <v>1.46</v>
      </c>
      <c r="K368">
        <v>1.1373009955695901E-2</v>
      </c>
      <c r="L368">
        <v>1</v>
      </c>
      <c r="M368">
        <v>84.98</v>
      </c>
      <c r="N368">
        <v>3.16</v>
      </c>
      <c r="O368">
        <v>26.8924050632911</v>
      </c>
      <c r="P368">
        <v>3.59905378344806E-3</v>
      </c>
    </row>
    <row r="369" spans="1:16" x14ac:dyDescent="0.2">
      <c r="A369" t="s">
        <v>26</v>
      </c>
      <c r="B369" t="s">
        <v>24</v>
      </c>
      <c r="C369">
        <v>2</v>
      </c>
      <c r="D369">
        <v>25</v>
      </c>
      <c r="E369">
        <v>2</v>
      </c>
      <c r="F369">
        <v>25</v>
      </c>
      <c r="G369" t="s">
        <v>23</v>
      </c>
      <c r="H369" t="s">
        <v>22</v>
      </c>
      <c r="I369">
        <v>2.12</v>
      </c>
      <c r="J369">
        <v>1.96</v>
      </c>
      <c r="K369">
        <v>1.1649580615097899E-2</v>
      </c>
      <c r="L369">
        <v>1</v>
      </c>
      <c r="M369">
        <v>82</v>
      </c>
      <c r="N369">
        <v>4.08</v>
      </c>
      <c r="O369">
        <v>20.098039215686299</v>
      </c>
      <c r="P369">
        <v>2.8552893664455501E-3</v>
      </c>
    </row>
    <row r="370" spans="1:16" x14ac:dyDescent="0.2">
      <c r="A370" t="s">
        <v>26</v>
      </c>
      <c r="B370" t="s">
        <v>24</v>
      </c>
      <c r="C370">
        <v>2</v>
      </c>
      <c r="D370">
        <v>37</v>
      </c>
      <c r="E370">
        <v>2</v>
      </c>
      <c r="F370">
        <v>37</v>
      </c>
      <c r="G370" t="s">
        <v>18</v>
      </c>
      <c r="H370" t="s">
        <v>19</v>
      </c>
      <c r="I370">
        <v>1.42</v>
      </c>
      <c r="J370">
        <v>1.42</v>
      </c>
      <c r="K370">
        <v>1.09486545086605E-2</v>
      </c>
      <c r="L370">
        <v>1</v>
      </c>
      <c r="M370">
        <v>92.108000000000004</v>
      </c>
      <c r="N370">
        <v>2.84</v>
      </c>
      <c r="O370">
        <v>32.432394366197201</v>
      </c>
      <c r="P370">
        <v>3.8551600382607299E-3</v>
      </c>
    </row>
    <row r="371" spans="1:16" x14ac:dyDescent="0.2">
      <c r="A371" t="s">
        <v>26</v>
      </c>
      <c r="B371" t="s">
        <v>24</v>
      </c>
      <c r="C371">
        <v>2</v>
      </c>
      <c r="D371">
        <v>37</v>
      </c>
      <c r="E371">
        <v>2</v>
      </c>
      <c r="F371">
        <v>37</v>
      </c>
      <c r="G371" t="s">
        <v>18</v>
      </c>
      <c r="H371" t="s">
        <v>22</v>
      </c>
      <c r="I371">
        <v>1.5</v>
      </c>
      <c r="J371">
        <v>1.46</v>
      </c>
      <c r="K371">
        <v>1.09793588054458E-2</v>
      </c>
      <c r="L371">
        <v>1</v>
      </c>
      <c r="M371">
        <v>90</v>
      </c>
      <c r="N371">
        <v>2.96</v>
      </c>
      <c r="O371">
        <v>30.4054054054054</v>
      </c>
      <c r="P371">
        <v>3.7092428396776202E-3</v>
      </c>
    </row>
    <row r="372" spans="1:16" x14ac:dyDescent="0.2">
      <c r="A372" t="s">
        <v>26</v>
      </c>
      <c r="B372" t="s">
        <v>24</v>
      </c>
      <c r="C372">
        <v>2</v>
      </c>
      <c r="D372">
        <v>37</v>
      </c>
      <c r="E372">
        <v>2</v>
      </c>
      <c r="F372">
        <v>37</v>
      </c>
      <c r="G372" t="s">
        <v>23</v>
      </c>
      <c r="H372" t="s">
        <v>19</v>
      </c>
      <c r="I372">
        <v>1.66</v>
      </c>
      <c r="J372">
        <v>1.42</v>
      </c>
      <c r="K372">
        <v>1.10579604961881E-2</v>
      </c>
      <c r="L372">
        <v>1</v>
      </c>
      <c r="M372">
        <v>90</v>
      </c>
      <c r="N372">
        <v>3.08</v>
      </c>
      <c r="O372">
        <v>29.2207792207792</v>
      </c>
      <c r="P372">
        <v>3.5902469143467698E-3</v>
      </c>
    </row>
    <row r="373" spans="1:16" x14ac:dyDescent="0.2">
      <c r="A373" t="s">
        <v>26</v>
      </c>
      <c r="B373" t="s">
        <v>24</v>
      </c>
      <c r="C373">
        <v>2</v>
      </c>
      <c r="D373">
        <v>37</v>
      </c>
      <c r="E373">
        <v>2</v>
      </c>
      <c r="F373">
        <v>37</v>
      </c>
      <c r="G373" t="s">
        <v>23</v>
      </c>
      <c r="H373" t="s">
        <v>22</v>
      </c>
      <c r="I373">
        <v>1.8</v>
      </c>
      <c r="J373">
        <v>1.62</v>
      </c>
      <c r="K373">
        <v>1.11209964412811E-2</v>
      </c>
      <c r="L373">
        <v>1</v>
      </c>
      <c r="M373">
        <v>90</v>
      </c>
      <c r="N373">
        <v>3.42</v>
      </c>
      <c r="O373">
        <v>26.315789473684202</v>
      </c>
      <c r="P373">
        <v>3.2517533454038401E-3</v>
      </c>
    </row>
    <row r="374" spans="1:16" x14ac:dyDescent="0.2">
      <c r="A374" t="s">
        <v>26</v>
      </c>
      <c r="B374" t="s">
        <v>24</v>
      </c>
      <c r="C374">
        <v>2</v>
      </c>
      <c r="D374">
        <v>50</v>
      </c>
      <c r="E374">
        <v>2</v>
      </c>
      <c r="F374">
        <v>50</v>
      </c>
      <c r="G374" t="s">
        <v>18</v>
      </c>
      <c r="H374" t="s">
        <v>19</v>
      </c>
      <c r="I374">
        <v>1.46</v>
      </c>
      <c r="J374">
        <v>1.46</v>
      </c>
      <c r="K374">
        <v>1.0872951752703299E-2</v>
      </c>
      <c r="L374">
        <v>1</v>
      </c>
      <c r="M374">
        <v>93.628</v>
      </c>
      <c r="N374">
        <v>2.92</v>
      </c>
      <c r="O374">
        <v>32.064383561643801</v>
      </c>
      <c r="P374">
        <v>3.7236136139394802E-3</v>
      </c>
    </row>
    <row r="375" spans="1:16" x14ac:dyDescent="0.2">
      <c r="A375" t="s">
        <v>26</v>
      </c>
      <c r="B375" t="s">
        <v>24</v>
      </c>
      <c r="C375">
        <v>2</v>
      </c>
      <c r="D375">
        <v>50</v>
      </c>
      <c r="E375">
        <v>2</v>
      </c>
      <c r="F375">
        <v>50</v>
      </c>
      <c r="G375" t="s">
        <v>18</v>
      </c>
      <c r="H375" t="s">
        <v>22</v>
      </c>
      <c r="I375">
        <v>1.52</v>
      </c>
      <c r="J375">
        <v>1.48</v>
      </c>
      <c r="K375">
        <v>1.08956199607758E-2</v>
      </c>
      <c r="L375">
        <v>1</v>
      </c>
      <c r="M375">
        <v>92</v>
      </c>
      <c r="N375">
        <v>3</v>
      </c>
      <c r="O375">
        <v>30.6666666666667</v>
      </c>
      <c r="P375">
        <v>3.6318733202585899E-3</v>
      </c>
    </row>
    <row r="376" spans="1:16" x14ac:dyDescent="0.2">
      <c r="A376" t="s">
        <v>26</v>
      </c>
      <c r="B376" t="s">
        <v>24</v>
      </c>
      <c r="C376">
        <v>2</v>
      </c>
      <c r="D376">
        <v>50</v>
      </c>
      <c r="E376">
        <v>2</v>
      </c>
      <c r="F376">
        <v>50</v>
      </c>
      <c r="G376" t="s">
        <v>23</v>
      </c>
      <c r="H376" t="s">
        <v>19</v>
      </c>
      <c r="I376">
        <v>1.6</v>
      </c>
      <c r="J376">
        <v>1.42</v>
      </c>
      <c r="K376">
        <v>1.0935450575016501E-2</v>
      </c>
      <c r="L376">
        <v>1</v>
      </c>
      <c r="M376">
        <v>90.06</v>
      </c>
      <c r="N376">
        <v>3.02</v>
      </c>
      <c r="O376">
        <v>29.821192052980098</v>
      </c>
      <c r="P376">
        <v>3.6210101241776599E-3</v>
      </c>
    </row>
    <row r="377" spans="1:16" x14ac:dyDescent="0.2">
      <c r="A377" t="s">
        <v>26</v>
      </c>
      <c r="B377" t="s">
        <v>24</v>
      </c>
      <c r="C377">
        <v>2</v>
      </c>
      <c r="D377">
        <v>50</v>
      </c>
      <c r="E377">
        <v>2</v>
      </c>
      <c r="F377">
        <v>50</v>
      </c>
      <c r="G377" t="s">
        <v>23</v>
      </c>
      <c r="H377" t="s">
        <v>22</v>
      </c>
      <c r="I377">
        <v>1.74</v>
      </c>
      <c r="J377">
        <v>1.5</v>
      </c>
      <c r="K377">
        <v>1.09697235629662E-2</v>
      </c>
      <c r="L377">
        <v>1</v>
      </c>
      <c r="M377">
        <v>90</v>
      </c>
      <c r="N377">
        <v>3.24</v>
      </c>
      <c r="O377">
        <v>27.7777777777778</v>
      </c>
      <c r="P377">
        <v>3.3857171490636502E-3</v>
      </c>
    </row>
    <row r="378" spans="1:16" x14ac:dyDescent="0.2">
      <c r="A378" t="s">
        <v>26</v>
      </c>
      <c r="B378" t="s">
        <v>24</v>
      </c>
      <c r="C378">
        <v>5</v>
      </c>
      <c r="D378">
        <v>12</v>
      </c>
      <c r="E378">
        <v>5</v>
      </c>
      <c r="F378">
        <v>12</v>
      </c>
      <c r="G378" t="s">
        <v>18</v>
      </c>
      <c r="H378" t="s">
        <v>19</v>
      </c>
      <c r="I378">
        <v>0.9</v>
      </c>
      <c r="J378">
        <v>0.96</v>
      </c>
      <c r="K378">
        <v>1.23555206816276E-2</v>
      </c>
      <c r="L378">
        <v>1</v>
      </c>
      <c r="M378">
        <v>67.632000000000005</v>
      </c>
      <c r="N378">
        <v>1.86</v>
      </c>
      <c r="O378">
        <v>36.3612903225807</v>
      </c>
      <c r="P378">
        <v>6.6427530546385102E-3</v>
      </c>
    </row>
    <row r="379" spans="1:16" x14ac:dyDescent="0.2">
      <c r="A379" t="s">
        <v>26</v>
      </c>
      <c r="B379" t="s">
        <v>24</v>
      </c>
      <c r="C379">
        <v>5</v>
      </c>
      <c r="D379">
        <v>12</v>
      </c>
      <c r="E379">
        <v>5</v>
      </c>
      <c r="F379">
        <v>12</v>
      </c>
      <c r="G379" t="s">
        <v>18</v>
      </c>
      <c r="H379" t="s">
        <v>22</v>
      </c>
      <c r="I379">
        <v>1.18</v>
      </c>
      <c r="J379">
        <v>1.18</v>
      </c>
      <c r="K379">
        <v>1.3542795232936101E-2</v>
      </c>
      <c r="L379">
        <v>1</v>
      </c>
      <c r="M379">
        <v>56</v>
      </c>
      <c r="N379">
        <v>2.36</v>
      </c>
      <c r="O379">
        <v>23.728813559321999</v>
      </c>
      <c r="P379">
        <v>5.7384725563288498E-3</v>
      </c>
    </row>
    <row r="380" spans="1:16" x14ac:dyDescent="0.2">
      <c r="A380" t="s">
        <v>26</v>
      </c>
      <c r="B380" t="s">
        <v>24</v>
      </c>
      <c r="C380">
        <v>5</v>
      </c>
      <c r="D380">
        <v>12</v>
      </c>
      <c r="E380">
        <v>5</v>
      </c>
      <c r="F380">
        <v>12</v>
      </c>
      <c r="G380" t="s">
        <v>23</v>
      </c>
      <c r="H380" t="s">
        <v>19</v>
      </c>
      <c r="I380">
        <v>2.4</v>
      </c>
      <c r="J380">
        <v>2.4</v>
      </c>
      <c r="K380">
        <v>9.8143414777842105E-3</v>
      </c>
      <c r="L380">
        <v>2E-3</v>
      </c>
      <c r="M380">
        <v>2.4E-2</v>
      </c>
      <c r="N380">
        <v>4.8</v>
      </c>
      <c r="O380">
        <v>5.0000000000000001E-3</v>
      </c>
      <c r="P380">
        <v>2.0446544745383799E-3</v>
      </c>
    </row>
    <row r="381" spans="1:16" x14ac:dyDescent="0.2">
      <c r="A381" t="s">
        <v>26</v>
      </c>
      <c r="B381" t="s">
        <v>24</v>
      </c>
      <c r="C381">
        <v>5</v>
      </c>
      <c r="D381">
        <v>12</v>
      </c>
      <c r="E381">
        <v>5</v>
      </c>
      <c r="F381">
        <v>12</v>
      </c>
      <c r="G381" t="s">
        <v>23</v>
      </c>
      <c r="H381" t="s">
        <v>22</v>
      </c>
      <c r="I381">
        <v>2.4</v>
      </c>
      <c r="J381">
        <v>2.4</v>
      </c>
      <c r="K381">
        <v>3.9560091779412901E-3</v>
      </c>
      <c r="L381">
        <v>0</v>
      </c>
      <c r="M381">
        <v>0</v>
      </c>
      <c r="N381">
        <v>4.8</v>
      </c>
      <c r="O381">
        <v>0</v>
      </c>
      <c r="P381">
        <v>8.2416857873776899E-4</v>
      </c>
    </row>
    <row r="382" spans="1:16" x14ac:dyDescent="0.2">
      <c r="A382" t="s">
        <v>26</v>
      </c>
      <c r="B382" t="s">
        <v>24</v>
      </c>
      <c r="C382">
        <v>5</v>
      </c>
      <c r="D382">
        <v>25</v>
      </c>
      <c r="E382">
        <v>5</v>
      </c>
      <c r="F382">
        <v>25</v>
      </c>
      <c r="G382" t="s">
        <v>18</v>
      </c>
      <c r="H382" t="s">
        <v>19</v>
      </c>
      <c r="I382">
        <v>1.1599999999999999</v>
      </c>
      <c r="J382">
        <v>1.2</v>
      </c>
      <c r="K382">
        <v>1.1558919539980599E-2</v>
      </c>
      <c r="L382">
        <v>1</v>
      </c>
      <c r="M382">
        <v>77.951999999999998</v>
      </c>
      <c r="N382">
        <v>2.36</v>
      </c>
      <c r="O382">
        <v>33.030508474576301</v>
      </c>
      <c r="P382">
        <v>4.8978472627036404E-3</v>
      </c>
    </row>
    <row r="383" spans="1:16" x14ac:dyDescent="0.2">
      <c r="A383" t="s">
        <v>26</v>
      </c>
      <c r="B383" t="s">
        <v>24</v>
      </c>
      <c r="C383">
        <v>5</v>
      </c>
      <c r="D383">
        <v>25</v>
      </c>
      <c r="E383">
        <v>5</v>
      </c>
      <c r="F383">
        <v>25</v>
      </c>
      <c r="G383" t="s">
        <v>18</v>
      </c>
      <c r="H383" t="s">
        <v>22</v>
      </c>
      <c r="I383">
        <v>1.34</v>
      </c>
      <c r="J383">
        <v>1.34</v>
      </c>
      <c r="K383">
        <v>1.19019281123542E-2</v>
      </c>
      <c r="L383">
        <v>1</v>
      </c>
      <c r="M383">
        <v>76</v>
      </c>
      <c r="N383">
        <v>2.68</v>
      </c>
      <c r="O383">
        <v>28.358208955223901</v>
      </c>
      <c r="P383">
        <v>4.4410179523709696E-3</v>
      </c>
    </row>
    <row r="384" spans="1:16" x14ac:dyDescent="0.2">
      <c r="A384" t="s">
        <v>26</v>
      </c>
      <c r="B384" t="s">
        <v>24</v>
      </c>
      <c r="C384">
        <v>5</v>
      </c>
      <c r="D384">
        <v>25</v>
      </c>
      <c r="E384">
        <v>5</v>
      </c>
      <c r="F384">
        <v>25</v>
      </c>
      <c r="G384" t="s">
        <v>23</v>
      </c>
      <c r="H384" t="s">
        <v>19</v>
      </c>
      <c r="I384">
        <v>2.16</v>
      </c>
      <c r="J384">
        <v>2.04</v>
      </c>
      <c r="K384">
        <v>1.3762168658809601E-2</v>
      </c>
      <c r="L384">
        <v>1</v>
      </c>
      <c r="M384">
        <v>53.3</v>
      </c>
      <c r="N384">
        <v>4.2</v>
      </c>
      <c r="O384">
        <v>12.6904761904762</v>
      </c>
      <c r="P384">
        <v>3.2767068235261001E-3</v>
      </c>
    </row>
    <row r="385" spans="1:16" x14ac:dyDescent="0.2">
      <c r="A385" t="s">
        <v>26</v>
      </c>
      <c r="B385" t="s">
        <v>24</v>
      </c>
      <c r="C385">
        <v>5</v>
      </c>
      <c r="D385">
        <v>25</v>
      </c>
      <c r="E385">
        <v>5</v>
      </c>
      <c r="F385">
        <v>25</v>
      </c>
      <c r="G385" t="s">
        <v>23</v>
      </c>
      <c r="H385" t="s">
        <v>22</v>
      </c>
      <c r="I385">
        <v>5</v>
      </c>
      <c r="J385">
        <v>5</v>
      </c>
      <c r="K385">
        <v>5.3493099390178704E-3</v>
      </c>
      <c r="L385">
        <v>0</v>
      </c>
      <c r="M385">
        <v>0</v>
      </c>
      <c r="N385">
        <v>10</v>
      </c>
      <c r="O385">
        <v>0</v>
      </c>
      <c r="P385">
        <v>5.3493099390178702E-4</v>
      </c>
    </row>
    <row r="386" spans="1:16" x14ac:dyDescent="0.2">
      <c r="A386" t="s">
        <v>26</v>
      </c>
      <c r="B386" t="s">
        <v>24</v>
      </c>
      <c r="C386">
        <v>5</v>
      </c>
      <c r="D386">
        <v>37</v>
      </c>
      <c r="E386">
        <v>5</v>
      </c>
      <c r="F386">
        <v>37</v>
      </c>
      <c r="G386" t="s">
        <v>18</v>
      </c>
      <c r="H386" t="s">
        <v>19</v>
      </c>
      <c r="I386">
        <v>1.3</v>
      </c>
      <c r="J386">
        <v>1.28</v>
      </c>
      <c r="K386">
        <v>1.12290682651688E-2</v>
      </c>
      <c r="L386">
        <v>1</v>
      </c>
      <c r="M386">
        <v>85.751999999999995</v>
      </c>
      <c r="N386">
        <v>2.58</v>
      </c>
      <c r="O386">
        <v>33.237209302325603</v>
      </c>
      <c r="P386">
        <v>4.3523520407630798E-3</v>
      </c>
    </row>
    <row r="387" spans="1:16" x14ac:dyDescent="0.2">
      <c r="A387" t="s">
        <v>26</v>
      </c>
      <c r="B387" t="s">
        <v>24</v>
      </c>
      <c r="C387">
        <v>5</v>
      </c>
      <c r="D387">
        <v>37</v>
      </c>
      <c r="E387">
        <v>5</v>
      </c>
      <c r="F387">
        <v>37</v>
      </c>
      <c r="G387" t="s">
        <v>18</v>
      </c>
      <c r="H387" t="s">
        <v>22</v>
      </c>
      <c r="I387">
        <v>1.42</v>
      </c>
      <c r="J387">
        <v>1.4</v>
      </c>
      <c r="K387">
        <v>1.1337868480725599E-2</v>
      </c>
      <c r="L387">
        <v>1</v>
      </c>
      <c r="M387">
        <v>82</v>
      </c>
      <c r="N387">
        <v>2.82</v>
      </c>
      <c r="O387">
        <v>29.078014184397201</v>
      </c>
      <c r="P387">
        <v>4.0205207378459697E-3</v>
      </c>
    </row>
    <row r="388" spans="1:16" x14ac:dyDescent="0.2">
      <c r="A388" t="s">
        <v>26</v>
      </c>
      <c r="B388" t="s">
        <v>24</v>
      </c>
      <c r="C388">
        <v>5</v>
      </c>
      <c r="D388">
        <v>37</v>
      </c>
      <c r="E388">
        <v>5</v>
      </c>
      <c r="F388">
        <v>37</v>
      </c>
      <c r="G388" t="s">
        <v>23</v>
      </c>
      <c r="H388" t="s">
        <v>19</v>
      </c>
      <c r="I388">
        <v>1.7</v>
      </c>
      <c r="J388">
        <v>1.52</v>
      </c>
      <c r="K388">
        <v>1.17526143985689E-2</v>
      </c>
      <c r="L388">
        <v>1</v>
      </c>
      <c r="M388">
        <v>70.688000000000002</v>
      </c>
      <c r="N388">
        <v>3.22</v>
      </c>
      <c r="O388">
        <v>21.952795031055899</v>
      </c>
      <c r="P388">
        <v>3.6498802480027601E-3</v>
      </c>
    </row>
    <row r="389" spans="1:16" x14ac:dyDescent="0.2">
      <c r="A389" t="s">
        <v>26</v>
      </c>
      <c r="B389" t="s">
        <v>24</v>
      </c>
      <c r="C389">
        <v>5</v>
      </c>
      <c r="D389">
        <v>37</v>
      </c>
      <c r="E389">
        <v>5</v>
      </c>
      <c r="F389">
        <v>37</v>
      </c>
      <c r="G389" t="s">
        <v>23</v>
      </c>
      <c r="H389" t="s">
        <v>22</v>
      </c>
      <c r="I389">
        <v>2.48</v>
      </c>
      <c r="J389">
        <v>2.38</v>
      </c>
      <c r="K389">
        <v>1.2709710218607E-2</v>
      </c>
      <c r="L389">
        <v>1</v>
      </c>
      <c r="M389">
        <v>58</v>
      </c>
      <c r="N389">
        <v>4.8600000000000003</v>
      </c>
      <c r="O389">
        <v>11.9341563786008</v>
      </c>
      <c r="P389">
        <v>2.6151667116475299E-3</v>
      </c>
    </row>
    <row r="390" spans="1:16" x14ac:dyDescent="0.2">
      <c r="A390" t="s">
        <v>26</v>
      </c>
      <c r="B390" t="s">
        <v>24</v>
      </c>
      <c r="C390">
        <v>5</v>
      </c>
      <c r="D390">
        <v>50</v>
      </c>
      <c r="E390">
        <v>5</v>
      </c>
      <c r="F390">
        <v>50</v>
      </c>
      <c r="G390" t="s">
        <v>18</v>
      </c>
      <c r="H390" t="s">
        <v>19</v>
      </c>
      <c r="I390">
        <v>1.36</v>
      </c>
      <c r="J390">
        <v>1.34</v>
      </c>
      <c r="K390">
        <v>1.1046518832083199E-2</v>
      </c>
      <c r="L390">
        <v>1</v>
      </c>
      <c r="M390">
        <v>87.096000000000004</v>
      </c>
      <c r="N390">
        <v>2.7</v>
      </c>
      <c r="O390">
        <v>32.257777777777797</v>
      </c>
      <c r="P390">
        <v>4.0913032711419103E-3</v>
      </c>
    </row>
    <row r="391" spans="1:16" x14ac:dyDescent="0.2">
      <c r="A391" t="s">
        <v>26</v>
      </c>
      <c r="B391" t="s">
        <v>24</v>
      </c>
      <c r="C391">
        <v>5</v>
      </c>
      <c r="D391">
        <v>50</v>
      </c>
      <c r="E391">
        <v>5</v>
      </c>
      <c r="F391">
        <v>50</v>
      </c>
      <c r="G391" t="s">
        <v>18</v>
      </c>
      <c r="H391" t="s">
        <v>22</v>
      </c>
      <c r="I391">
        <v>1.44</v>
      </c>
      <c r="J391">
        <v>1.42</v>
      </c>
      <c r="K391">
        <v>1.11284219897619E-2</v>
      </c>
      <c r="L391">
        <v>1</v>
      </c>
      <c r="M391">
        <v>84</v>
      </c>
      <c r="N391">
        <v>2.86</v>
      </c>
      <c r="O391">
        <v>29.370629370629398</v>
      </c>
      <c r="P391">
        <v>3.8910566397768699E-3</v>
      </c>
    </row>
    <row r="392" spans="1:16" x14ac:dyDescent="0.2">
      <c r="A392" t="s">
        <v>26</v>
      </c>
      <c r="B392" t="s">
        <v>24</v>
      </c>
      <c r="C392">
        <v>5</v>
      </c>
      <c r="D392">
        <v>50</v>
      </c>
      <c r="E392">
        <v>5</v>
      </c>
      <c r="F392">
        <v>50</v>
      </c>
      <c r="G392" t="s">
        <v>23</v>
      </c>
      <c r="H392" t="s">
        <v>19</v>
      </c>
      <c r="I392">
        <v>1.6</v>
      </c>
      <c r="J392">
        <v>1.54</v>
      </c>
      <c r="K392">
        <v>1.13302074705567E-2</v>
      </c>
      <c r="L392">
        <v>1</v>
      </c>
      <c r="M392">
        <v>75.988</v>
      </c>
      <c r="N392">
        <v>3.14</v>
      </c>
      <c r="O392">
        <v>24.2</v>
      </c>
      <c r="P392">
        <v>3.6083463282027902E-3</v>
      </c>
    </row>
    <row r="393" spans="1:16" x14ac:dyDescent="0.2">
      <c r="A393" t="s">
        <v>26</v>
      </c>
      <c r="B393" t="s">
        <v>24</v>
      </c>
      <c r="C393">
        <v>5</v>
      </c>
      <c r="D393">
        <v>50</v>
      </c>
      <c r="E393">
        <v>5</v>
      </c>
      <c r="F393">
        <v>50</v>
      </c>
      <c r="G393" t="s">
        <v>23</v>
      </c>
      <c r="H393" t="s">
        <v>22</v>
      </c>
      <c r="I393">
        <v>1.94</v>
      </c>
      <c r="J393">
        <v>1.84</v>
      </c>
      <c r="K393">
        <v>1.1617100371747201E-2</v>
      </c>
      <c r="L393">
        <v>1</v>
      </c>
      <c r="M393">
        <v>68</v>
      </c>
      <c r="N393">
        <v>3.78</v>
      </c>
      <c r="O393">
        <v>17.989417989418001</v>
      </c>
      <c r="P393">
        <v>3.0733069766527002E-3</v>
      </c>
    </row>
    <row r="394" spans="1:16" x14ac:dyDescent="0.2">
      <c r="A394" t="s">
        <v>26</v>
      </c>
      <c r="B394" t="s">
        <v>25</v>
      </c>
      <c r="C394">
        <v>1</v>
      </c>
      <c r="D394">
        <v>25</v>
      </c>
      <c r="E394">
        <v>0</v>
      </c>
      <c r="F394">
        <v>0</v>
      </c>
      <c r="G394" t="s">
        <v>18</v>
      </c>
      <c r="H394" t="s">
        <v>19</v>
      </c>
      <c r="I394">
        <v>1.68</v>
      </c>
      <c r="J394">
        <v>0</v>
      </c>
      <c r="K394">
        <v>1.0992756723967901E-2</v>
      </c>
      <c r="L394">
        <v>1</v>
      </c>
      <c r="M394">
        <v>92.02</v>
      </c>
      <c r="N394">
        <v>1.68</v>
      </c>
      <c r="O394">
        <v>54.773809523809497</v>
      </c>
      <c r="P394">
        <v>6.5433075737904396E-3</v>
      </c>
    </row>
    <row r="395" spans="1:16" x14ac:dyDescent="0.2">
      <c r="A395" t="s">
        <v>26</v>
      </c>
      <c r="B395" t="s">
        <v>25</v>
      </c>
      <c r="C395">
        <v>1</v>
      </c>
      <c r="D395">
        <v>25</v>
      </c>
      <c r="E395">
        <v>0</v>
      </c>
      <c r="F395">
        <v>0</v>
      </c>
      <c r="G395" t="s">
        <v>18</v>
      </c>
      <c r="H395" t="s">
        <v>22</v>
      </c>
      <c r="I395">
        <v>1.88</v>
      </c>
      <c r="J395">
        <v>0</v>
      </c>
      <c r="K395">
        <v>1.1049723756906099E-2</v>
      </c>
      <c r="L395">
        <v>1</v>
      </c>
      <c r="M395">
        <v>92</v>
      </c>
      <c r="N395">
        <v>1.88</v>
      </c>
      <c r="O395">
        <v>48.936170212766001</v>
      </c>
      <c r="P395">
        <v>5.8775126366521699E-3</v>
      </c>
    </row>
    <row r="396" spans="1:16" x14ac:dyDescent="0.2">
      <c r="A396" t="s">
        <v>26</v>
      </c>
      <c r="B396" t="s">
        <v>25</v>
      </c>
      <c r="C396">
        <v>1</v>
      </c>
      <c r="D396">
        <v>25</v>
      </c>
      <c r="E396">
        <v>0</v>
      </c>
      <c r="F396">
        <v>0</v>
      </c>
      <c r="G396" t="s">
        <v>23</v>
      </c>
      <c r="H396" t="s">
        <v>19</v>
      </c>
      <c r="I396">
        <v>2.2200000000000002</v>
      </c>
      <c r="J396">
        <v>0</v>
      </c>
      <c r="K396">
        <v>1.11695905422875E-2</v>
      </c>
      <c r="L396">
        <v>1</v>
      </c>
      <c r="M396">
        <v>90.12</v>
      </c>
      <c r="N396">
        <v>2.2200000000000002</v>
      </c>
      <c r="O396">
        <v>40.594594594594597</v>
      </c>
      <c r="P396">
        <v>5.0313470911205098E-3</v>
      </c>
    </row>
    <row r="397" spans="1:16" x14ac:dyDescent="0.2">
      <c r="A397" t="s">
        <v>26</v>
      </c>
      <c r="B397" t="s">
        <v>25</v>
      </c>
      <c r="C397">
        <v>1</v>
      </c>
      <c r="D397">
        <v>25</v>
      </c>
      <c r="E397">
        <v>0</v>
      </c>
      <c r="F397">
        <v>0</v>
      </c>
      <c r="G397" t="s">
        <v>23</v>
      </c>
      <c r="H397" t="s">
        <v>22</v>
      </c>
      <c r="I397">
        <v>2.6</v>
      </c>
      <c r="J397">
        <v>0</v>
      </c>
      <c r="K397">
        <v>1.12943302462164E-2</v>
      </c>
      <c r="L397">
        <v>1</v>
      </c>
      <c r="M397">
        <v>88</v>
      </c>
      <c r="N397">
        <v>2.6</v>
      </c>
      <c r="O397">
        <v>33.846153846153797</v>
      </c>
      <c r="P397">
        <v>4.3439731716216901E-3</v>
      </c>
    </row>
    <row r="398" spans="1:16" x14ac:dyDescent="0.2">
      <c r="A398" t="s">
        <v>26</v>
      </c>
      <c r="B398" t="s">
        <v>25</v>
      </c>
      <c r="C398">
        <v>1</v>
      </c>
      <c r="D398">
        <v>50</v>
      </c>
      <c r="E398">
        <v>0</v>
      </c>
      <c r="F398">
        <v>0</v>
      </c>
      <c r="G398" t="s">
        <v>18</v>
      </c>
      <c r="H398" t="s">
        <v>19</v>
      </c>
      <c r="I398">
        <v>1.76</v>
      </c>
      <c r="J398">
        <v>0</v>
      </c>
      <c r="K398">
        <v>1.08295446106388E-2</v>
      </c>
      <c r="L398">
        <v>1</v>
      </c>
      <c r="M398">
        <v>96</v>
      </c>
      <c r="N398">
        <v>1.76</v>
      </c>
      <c r="O398">
        <v>54.545454545454497</v>
      </c>
      <c r="P398">
        <v>6.1531503469538602E-3</v>
      </c>
    </row>
    <row r="399" spans="1:16" x14ac:dyDescent="0.2">
      <c r="A399" t="s">
        <v>26</v>
      </c>
      <c r="B399" t="s">
        <v>25</v>
      </c>
      <c r="C399">
        <v>1</v>
      </c>
      <c r="D399">
        <v>50</v>
      </c>
      <c r="E399">
        <v>0</v>
      </c>
      <c r="F399">
        <v>0</v>
      </c>
      <c r="G399" t="s">
        <v>18</v>
      </c>
      <c r="H399" t="s">
        <v>22</v>
      </c>
      <c r="I399">
        <v>1.9</v>
      </c>
      <c r="J399">
        <v>0</v>
      </c>
      <c r="K399">
        <v>1.08436347863804E-2</v>
      </c>
      <c r="L399">
        <v>1</v>
      </c>
      <c r="M399">
        <v>96</v>
      </c>
      <c r="N399">
        <v>1.9</v>
      </c>
      <c r="O399">
        <v>50.526315789473699</v>
      </c>
      <c r="P399">
        <v>5.7071762033580999E-3</v>
      </c>
    </row>
    <row r="400" spans="1:16" x14ac:dyDescent="0.2">
      <c r="A400" t="s">
        <v>26</v>
      </c>
      <c r="B400" t="s">
        <v>25</v>
      </c>
      <c r="C400">
        <v>1</v>
      </c>
      <c r="D400">
        <v>50</v>
      </c>
      <c r="E400">
        <v>0</v>
      </c>
      <c r="F400">
        <v>0</v>
      </c>
      <c r="G400" t="s">
        <v>23</v>
      </c>
      <c r="H400" t="s">
        <v>19</v>
      </c>
      <c r="I400">
        <v>2.12</v>
      </c>
      <c r="J400">
        <v>0</v>
      </c>
      <c r="K400">
        <v>1.08750837201908E-2</v>
      </c>
      <c r="L400">
        <v>1</v>
      </c>
      <c r="M400">
        <v>94.388000000000005</v>
      </c>
      <c r="N400">
        <v>2.12</v>
      </c>
      <c r="O400">
        <v>44.522641509434003</v>
      </c>
      <c r="P400">
        <v>5.1297564717881199E-3</v>
      </c>
    </row>
    <row r="401" spans="1:16" x14ac:dyDescent="0.2">
      <c r="A401" t="s">
        <v>26</v>
      </c>
      <c r="B401" t="s">
        <v>25</v>
      </c>
      <c r="C401">
        <v>1</v>
      </c>
      <c r="D401">
        <v>50</v>
      </c>
      <c r="E401">
        <v>0</v>
      </c>
      <c r="F401">
        <v>0</v>
      </c>
      <c r="G401" t="s">
        <v>23</v>
      </c>
      <c r="H401" t="s">
        <v>22</v>
      </c>
      <c r="I401">
        <v>2.2999999999999998</v>
      </c>
      <c r="J401">
        <v>0</v>
      </c>
      <c r="K401">
        <v>1.0905125408942199E-2</v>
      </c>
      <c r="L401">
        <v>1</v>
      </c>
      <c r="M401">
        <v>94</v>
      </c>
      <c r="N401">
        <v>2.2999999999999998</v>
      </c>
      <c r="O401">
        <v>40.869565217391298</v>
      </c>
      <c r="P401">
        <v>4.7413588734531303E-3</v>
      </c>
    </row>
    <row r="402" spans="1:16" x14ac:dyDescent="0.2">
      <c r="A402" t="s">
        <v>26</v>
      </c>
      <c r="B402" t="s">
        <v>25</v>
      </c>
      <c r="C402">
        <v>1</v>
      </c>
      <c r="D402">
        <v>75</v>
      </c>
      <c r="E402">
        <v>0</v>
      </c>
      <c r="F402">
        <v>0</v>
      </c>
      <c r="G402" t="s">
        <v>18</v>
      </c>
      <c r="H402" t="s">
        <v>19</v>
      </c>
      <c r="I402">
        <v>1.76</v>
      </c>
      <c r="J402">
        <v>0</v>
      </c>
      <c r="K402">
        <v>1.07714797386027E-2</v>
      </c>
      <c r="L402">
        <v>1</v>
      </c>
      <c r="M402">
        <v>96</v>
      </c>
      <c r="N402">
        <v>1.76</v>
      </c>
      <c r="O402">
        <v>54.545454545454497</v>
      </c>
      <c r="P402">
        <v>6.1201589423878896E-3</v>
      </c>
    </row>
    <row r="403" spans="1:16" x14ac:dyDescent="0.2">
      <c r="A403" t="s">
        <v>26</v>
      </c>
      <c r="B403" t="s">
        <v>25</v>
      </c>
      <c r="C403">
        <v>1</v>
      </c>
      <c r="D403">
        <v>75</v>
      </c>
      <c r="E403">
        <v>0</v>
      </c>
      <c r="F403">
        <v>0</v>
      </c>
      <c r="G403" t="s">
        <v>18</v>
      </c>
      <c r="H403" t="s">
        <v>22</v>
      </c>
      <c r="I403">
        <v>1.9</v>
      </c>
      <c r="J403">
        <v>0</v>
      </c>
      <c r="K403">
        <v>1.0785159620362399E-2</v>
      </c>
      <c r="L403">
        <v>1</v>
      </c>
      <c r="M403">
        <v>96</v>
      </c>
      <c r="N403">
        <v>1.9</v>
      </c>
      <c r="O403">
        <v>50.526315789473699</v>
      </c>
      <c r="P403">
        <v>5.67639980019073E-3</v>
      </c>
    </row>
    <row r="404" spans="1:16" x14ac:dyDescent="0.2">
      <c r="A404" t="s">
        <v>26</v>
      </c>
      <c r="B404" t="s">
        <v>25</v>
      </c>
      <c r="C404">
        <v>1</v>
      </c>
      <c r="D404">
        <v>75</v>
      </c>
      <c r="E404">
        <v>0</v>
      </c>
      <c r="F404">
        <v>0</v>
      </c>
      <c r="G404" t="s">
        <v>23</v>
      </c>
      <c r="H404" t="s">
        <v>19</v>
      </c>
      <c r="I404">
        <v>2.1</v>
      </c>
      <c r="J404">
        <v>0</v>
      </c>
      <c r="K404">
        <v>1.08034496960584E-2</v>
      </c>
      <c r="L404">
        <v>1</v>
      </c>
      <c r="M404">
        <v>96</v>
      </c>
      <c r="N404">
        <v>2.1</v>
      </c>
      <c r="O404">
        <v>45.714285714285701</v>
      </c>
      <c r="P404">
        <v>5.14449985526592E-3</v>
      </c>
    </row>
    <row r="405" spans="1:16" x14ac:dyDescent="0.2">
      <c r="A405" t="s">
        <v>26</v>
      </c>
      <c r="B405" t="s">
        <v>25</v>
      </c>
      <c r="C405">
        <v>1</v>
      </c>
      <c r="D405">
        <v>75</v>
      </c>
      <c r="E405">
        <v>0</v>
      </c>
      <c r="F405">
        <v>0</v>
      </c>
      <c r="G405" t="s">
        <v>23</v>
      </c>
      <c r="H405" t="s">
        <v>22</v>
      </c>
      <c r="I405">
        <v>2.2200000000000002</v>
      </c>
      <c r="J405">
        <v>0</v>
      </c>
      <c r="K405">
        <v>1.08131487889273E-2</v>
      </c>
      <c r="L405">
        <v>1</v>
      </c>
      <c r="M405">
        <v>96</v>
      </c>
      <c r="N405">
        <v>2.2200000000000002</v>
      </c>
      <c r="O405">
        <v>43.243243243243199</v>
      </c>
      <c r="P405">
        <v>4.8707877427600597E-3</v>
      </c>
    </row>
    <row r="406" spans="1:16" x14ac:dyDescent="0.2">
      <c r="A406" t="s">
        <v>26</v>
      </c>
      <c r="B406" t="s">
        <v>25</v>
      </c>
      <c r="C406">
        <v>1</v>
      </c>
      <c r="D406">
        <v>100</v>
      </c>
      <c r="E406">
        <v>0</v>
      </c>
      <c r="F406">
        <v>0</v>
      </c>
      <c r="G406" t="s">
        <v>18</v>
      </c>
      <c r="H406" t="s">
        <v>19</v>
      </c>
      <c r="I406">
        <v>1.8</v>
      </c>
      <c r="J406">
        <v>0</v>
      </c>
      <c r="K406">
        <v>1.0741175491646699E-2</v>
      </c>
      <c r="L406">
        <v>1</v>
      </c>
      <c r="M406">
        <v>97.975999999999999</v>
      </c>
      <c r="N406">
        <v>1.8</v>
      </c>
      <c r="O406">
        <v>54.4311111111111</v>
      </c>
      <c r="P406">
        <v>5.9673197175814999E-3</v>
      </c>
    </row>
    <row r="407" spans="1:16" x14ac:dyDescent="0.2">
      <c r="A407" t="s">
        <v>26</v>
      </c>
      <c r="B407" t="s">
        <v>25</v>
      </c>
      <c r="C407">
        <v>1</v>
      </c>
      <c r="D407">
        <v>100</v>
      </c>
      <c r="E407">
        <v>0</v>
      </c>
      <c r="F407">
        <v>0</v>
      </c>
      <c r="G407" t="s">
        <v>18</v>
      </c>
      <c r="H407" t="s">
        <v>22</v>
      </c>
      <c r="I407">
        <v>1.92</v>
      </c>
      <c r="J407">
        <v>0</v>
      </c>
      <c r="K407">
        <v>1.07411385606874E-2</v>
      </c>
      <c r="L407">
        <v>1</v>
      </c>
      <c r="M407">
        <v>98</v>
      </c>
      <c r="N407">
        <v>1.92</v>
      </c>
      <c r="O407">
        <v>51.0416666666667</v>
      </c>
      <c r="P407">
        <v>5.5943430003580399E-3</v>
      </c>
    </row>
    <row r="408" spans="1:16" x14ac:dyDescent="0.2">
      <c r="A408" t="s">
        <v>26</v>
      </c>
      <c r="B408" t="s">
        <v>25</v>
      </c>
      <c r="C408">
        <v>1</v>
      </c>
      <c r="D408">
        <v>100</v>
      </c>
      <c r="E408">
        <v>0</v>
      </c>
      <c r="F408">
        <v>0</v>
      </c>
      <c r="G408" t="s">
        <v>23</v>
      </c>
      <c r="H408" t="s">
        <v>19</v>
      </c>
      <c r="I408">
        <v>2.04</v>
      </c>
      <c r="J408">
        <v>0</v>
      </c>
      <c r="K408">
        <v>1.0747667428718599E-2</v>
      </c>
      <c r="L408">
        <v>1</v>
      </c>
      <c r="M408">
        <v>96.567999999999998</v>
      </c>
      <c r="N408">
        <v>2.04</v>
      </c>
      <c r="O408">
        <v>47.337254901960797</v>
      </c>
      <c r="P408">
        <v>5.2684644258424703E-3</v>
      </c>
    </row>
    <row r="409" spans="1:16" x14ac:dyDescent="0.2">
      <c r="A409" t="s">
        <v>26</v>
      </c>
      <c r="B409" t="s">
        <v>25</v>
      </c>
      <c r="C409">
        <v>1</v>
      </c>
      <c r="D409">
        <v>100</v>
      </c>
      <c r="E409">
        <v>0</v>
      </c>
      <c r="F409">
        <v>0</v>
      </c>
      <c r="G409" t="s">
        <v>23</v>
      </c>
      <c r="H409" t="s">
        <v>22</v>
      </c>
      <c r="I409">
        <v>2.16</v>
      </c>
      <c r="J409">
        <v>0</v>
      </c>
      <c r="K409">
        <v>1.07573149741824E-2</v>
      </c>
      <c r="L409">
        <v>1</v>
      </c>
      <c r="M409">
        <v>96</v>
      </c>
      <c r="N409">
        <v>2.16</v>
      </c>
      <c r="O409">
        <v>44.4444444444444</v>
      </c>
      <c r="P409">
        <v>4.9802384139733501E-3</v>
      </c>
    </row>
    <row r="410" spans="1:16" x14ac:dyDescent="0.2">
      <c r="A410" t="s">
        <v>26</v>
      </c>
      <c r="B410" t="s">
        <v>25</v>
      </c>
      <c r="C410">
        <v>2</v>
      </c>
      <c r="D410">
        <v>25</v>
      </c>
      <c r="E410">
        <v>0</v>
      </c>
      <c r="F410">
        <v>0</v>
      </c>
      <c r="G410" t="s">
        <v>18</v>
      </c>
      <c r="H410" t="s">
        <v>19</v>
      </c>
      <c r="I410">
        <v>1.58</v>
      </c>
      <c r="J410">
        <v>0</v>
      </c>
      <c r="K410">
        <v>1.1210787289497001E-2</v>
      </c>
      <c r="L410">
        <v>1</v>
      </c>
      <c r="M410">
        <v>86.751999999999995</v>
      </c>
      <c r="N410">
        <v>1.58</v>
      </c>
      <c r="O410">
        <v>54.906329113924002</v>
      </c>
      <c r="P410">
        <v>7.0954349933525299E-3</v>
      </c>
    </row>
    <row r="411" spans="1:16" x14ac:dyDescent="0.2">
      <c r="A411" t="s">
        <v>26</v>
      </c>
      <c r="B411" t="s">
        <v>25</v>
      </c>
      <c r="C411">
        <v>2</v>
      </c>
      <c r="D411">
        <v>25</v>
      </c>
      <c r="E411">
        <v>0</v>
      </c>
      <c r="F411">
        <v>0</v>
      </c>
      <c r="G411" t="s">
        <v>18</v>
      </c>
      <c r="H411" t="s">
        <v>22</v>
      </c>
      <c r="I411">
        <v>1.8</v>
      </c>
      <c r="J411">
        <v>0</v>
      </c>
      <c r="K411">
        <v>1.13584734211722E-2</v>
      </c>
      <c r="L411">
        <v>1</v>
      </c>
      <c r="M411">
        <v>86</v>
      </c>
      <c r="N411">
        <v>1.8</v>
      </c>
      <c r="O411">
        <v>47.7777777777778</v>
      </c>
      <c r="P411">
        <v>6.3102630117623298E-3</v>
      </c>
    </row>
    <row r="412" spans="1:16" x14ac:dyDescent="0.2">
      <c r="A412" t="s">
        <v>26</v>
      </c>
      <c r="B412" t="s">
        <v>25</v>
      </c>
      <c r="C412">
        <v>2</v>
      </c>
      <c r="D412">
        <v>25</v>
      </c>
      <c r="E412">
        <v>0</v>
      </c>
      <c r="F412">
        <v>0</v>
      </c>
      <c r="G412" t="s">
        <v>23</v>
      </c>
      <c r="H412" t="s">
        <v>19</v>
      </c>
      <c r="I412">
        <v>2.42</v>
      </c>
      <c r="J412">
        <v>0</v>
      </c>
      <c r="K412">
        <v>1.17984547539018E-2</v>
      </c>
      <c r="L412">
        <v>1</v>
      </c>
      <c r="M412">
        <v>80.8</v>
      </c>
      <c r="N412">
        <v>2.42</v>
      </c>
      <c r="O412">
        <v>33.388429752066102</v>
      </c>
      <c r="P412">
        <v>4.8753945264056898E-3</v>
      </c>
    </row>
    <row r="413" spans="1:16" x14ac:dyDescent="0.2">
      <c r="A413" t="s">
        <v>26</v>
      </c>
      <c r="B413" t="s">
        <v>25</v>
      </c>
      <c r="C413">
        <v>2</v>
      </c>
      <c r="D413">
        <v>25</v>
      </c>
      <c r="E413">
        <v>0</v>
      </c>
      <c r="F413">
        <v>0</v>
      </c>
      <c r="G413" t="s">
        <v>23</v>
      </c>
      <c r="H413" t="s">
        <v>22</v>
      </c>
      <c r="I413">
        <v>3.58</v>
      </c>
      <c r="J413">
        <v>0</v>
      </c>
      <c r="K413">
        <v>1.27844541038098E-2</v>
      </c>
      <c r="L413">
        <v>1</v>
      </c>
      <c r="M413">
        <v>70</v>
      </c>
      <c r="N413">
        <v>3.58</v>
      </c>
      <c r="O413">
        <v>19.553072625698299</v>
      </c>
      <c r="P413">
        <v>3.5710765653099901E-3</v>
      </c>
    </row>
    <row r="414" spans="1:16" x14ac:dyDescent="0.2">
      <c r="A414" t="s">
        <v>26</v>
      </c>
      <c r="B414" t="s">
        <v>25</v>
      </c>
      <c r="C414">
        <v>2</v>
      </c>
      <c r="D414">
        <v>50</v>
      </c>
      <c r="E414">
        <v>0</v>
      </c>
      <c r="F414">
        <v>0</v>
      </c>
      <c r="G414" t="s">
        <v>18</v>
      </c>
      <c r="H414" t="s">
        <v>19</v>
      </c>
      <c r="I414">
        <v>1.72</v>
      </c>
      <c r="J414">
        <v>0</v>
      </c>
      <c r="K414">
        <v>1.09137352469817E-2</v>
      </c>
      <c r="L414">
        <v>1</v>
      </c>
      <c r="M414">
        <v>94</v>
      </c>
      <c r="N414">
        <v>1.72</v>
      </c>
      <c r="O414">
        <v>54.651162790697697</v>
      </c>
      <c r="P414">
        <v>6.3451949110358598E-3</v>
      </c>
    </row>
    <row r="415" spans="1:16" x14ac:dyDescent="0.2">
      <c r="A415" t="s">
        <v>26</v>
      </c>
      <c r="B415" t="s">
        <v>25</v>
      </c>
      <c r="C415">
        <v>2</v>
      </c>
      <c r="D415">
        <v>50</v>
      </c>
      <c r="E415">
        <v>0</v>
      </c>
      <c r="F415">
        <v>0</v>
      </c>
      <c r="G415" t="s">
        <v>18</v>
      </c>
      <c r="H415" t="s">
        <v>22</v>
      </c>
      <c r="I415">
        <v>1.88</v>
      </c>
      <c r="J415">
        <v>0</v>
      </c>
      <c r="K415">
        <v>1.0945709281961501E-2</v>
      </c>
      <c r="L415">
        <v>1</v>
      </c>
      <c r="M415">
        <v>94</v>
      </c>
      <c r="N415">
        <v>1.88</v>
      </c>
      <c r="O415">
        <v>50</v>
      </c>
      <c r="P415">
        <v>5.8221857882773797E-3</v>
      </c>
    </row>
    <row r="416" spans="1:16" x14ac:dyDescent="0.2">
      <c r="A416" t="s">
        <v>26</v>
      </c>
      <c r="B416" t="s">
        <v>25</v>
      </c>
      <c r="C416">
        <v>2</v>
      </c>
      <c r="D416">
        <v>50</v>
      </c>
      <c r="E416">
        <v>0</v>
      </c>
      <c r="F416">
        <v>0</v>
      </c>
      <c r="G416" t="s">
        <v>23</v>
      </c>
      <c r="H416" t="s">
        <v>19</v>
      </c>
      <c r="I416">
        <v>2.14</v>
      </c>
      <c r="J416">
        <v>0</v>
      </c>
      <c r="K416">
        <v>1.1025061508966099E-2</v>
      </c>
      <c r="L416">
        <v>1</v>
      </c>
      <c r="M416">
        <v>90.644000000000005</v>
      </c>
      <c r="N416">
        <v>2.14</v>
      </c>
      <c r="O416">
        <v>42.357009345794403</v>
      </c>
      <c r="P416">
        <v>5.15189790138601E-3</v>
      </c>
    </row>
    <row r="417" spans="1:16" x14ac:dyDescent="0.2">
      <c r="A417" t="s">
        <v>26</v>
      </c>
      <c r="B417" t="s">
        <v>25</v>
      </c>
      <c r="C417">
        <v>2</v>
      </c>
      <c r="D417">
        <v>50</v>
      </c>
      <c r="E417">
        <v>0</v>
      </c>
      <c r="F417">
        <v>0</v>
      </c>
      <c r="G417" t="s">
        <v>23</v>
      </c>
      <c r="H417" t="s">
        <v>22</v>
      </c>
      <c r="I417">
        <v>2.44</v>
      </c>
      <c r="J417">
        <v>0</v>
      </c>
      <c r="K417">
        <v>1.11185234600845E-2</v>
      </c>
      <c r="L417">
        <v>1</v>
      </c>
      <c r="M417">
        <v>90</v>
      </c>
      <c r="N417">
        <v>2.44</v>
      </c>
      <c r="O417">
        <v>36.885245901639301</v>
      </c>
      <c r="P417">
        <v>4.5567719098706999E-3</v>
      </c>
    </row>
    <row r="418" spans="1:16" x14ac:dyDescent="0.2">
      <c r="A418" t="s">
        <v>26</v>
      </c>
      <c r="B418" t="s">
        <v>25</v>
      </c>
      <c r="C418">
        <v>2</v>
      </c>
      <c r="D418">
        <v>75</v>
      </c>
      <c r="E418">
        <v>0</v>
      </c>
      <c r="F418">
        <v>0</v>
      </c>
      <c r="G418" t="s">
        <v>18</v>
      </c>
      <c r="H418" t="s">
        <v>19</v>
      </c>
      <c r="I418">
        <v>1.74</v>
      </c>
      <c r="J418">
        <v>0</v>
      </c>
      <c r="K418">
        <v>1.0798931819588299E-2</v>
      </c>
      <c r="L418">
        <v>1</v>
      </c>
      <c r="M418">
        <v>94</v>
      </c>
      <c r="N418">
        <v>1.74</v>
      </c>
      <c r="O418">
        <v>54.022988505747101</v>
      </c>
      <c r="P418">
        <v>6.20628265493583E-3</v>
      </c>
    </row>
    <row r="419" spans="1:16" x14ac:dyDescent="0.2">
      <c r="A419" t="s">
        <v>26</v>
      </c>
      <c r="B419" t="s">
        <v>25</v>
      </c>
      <c r="C419">
        <v>2</v>
      </c>
      <c r="D419">
        <v>75</v>
      </c>
      <c r="E419">
        <v>0</v>
      </c>
      <c r="F419">
        <v>0</v>
      </c>
      <c r="G419" t="s">
        <v>18</v>
      </c>
      <c r="H419" t="s">
        <v>22</v>
      </c>
      <c r="I419">
        <v>1.9</v>
      </c>
      <c r="J419">
        <v>0</v>
      </c>
      <c r="K419">
        <v>1.08295429932857E-2</v>
      </c>
      <c r="L419">
        <v>1</v>
      </c>
      <c r="M419">
        <v>94</v>
      </c>
      <c r="N419">
        <v>1.9</v>
      </c>
      <c r="O419">
        <v>49.473684210526301</v>
      </c>
      <c r="P419">
        <v>5.69975947015036E-3</v>
      </c>
    </row>
    <row r="420" spans="1:16" x14ac:dyDescent="0.2">
      <c r="A420" t="s">
        <v>26</v>
      </c>
      <c r="B420" t="s">
        <v>25</v>
      </c>
      <c r="C420">
        <v>2</v>
      </c>
      <c r="D420">
        <v>75</v>
      </c>
      <c r="E420">
        <v>0</v>
      </c>
      <c r="F420">
        <v>0</v>
      </c>
      <c r="G420" t="s">
        <v>23</v>
      </c>
      <c r="H420" t="s">
        <v>19</v>
      </c>
      <c r="I420">
        <v>2.1</v>
      </c>
      <c r="J420">
        <v>0</v>
      </c>
      <c r="K420">
        <v>1.08684522599181E-2</v>
      </c>
      <c r="L420">
        <v>1</v>
      </c>
      <c r="M420">
        <v>94</v>
      </c>
      <c r="N420">
        <v>2.1</v>
      </c>
      <c r="O420">
        <v>44.761904761904802</v>
      </c>
      <c r="P420">
        <v>5.1754534571038704E-3</v>
      </c>
    </row>
    <row r="421" spans="1:16" x14ac:dyDescent="0.2">
      <c r="A421" t="s">
        <v>26</v>
      </c>
      <c r="B421" t="s">
        <v>25</v>
      </c>
      <c r="C421">
        <v>2</v>
      </c>
      <c r="D421">
        <v>75</v>
      </c>
      <c r="E421">
        <v>0</v>
      </c>
      <c r="F421">
        <v>0</v>
      </c>
      <c r="G421" t="s">
        <v>23</v>
      </c>
      <c r="H421" t="s">
        <v>22</v>
      </c>
      <c r="I421">
        <v>2.2799999999999998</v>
      </c>
      <c r="J421">
        <v>0</v>
      </c>
      <c r="K421">
        <v>1.08932461873638E-2</v>
      </c>
      <c r="L421">
        <v>1</v>
      </c>
      <c r="M421">
        <v>94</v>
      </c>
      <c r="N421">
        <v>2.2799999999999998</v>
      </c>
      <c r="O421">
        <v>41.228070175438603</v>
      </c>
      <c r="P421">
        <v>4.7777395558613297E-3</v>
      </c>
    </row>
    <row r="422" spans="1:16" x14ac:dyDescent="0.2">
      <c r="A422" t="s">
        <v>26</v>
      </c>
      <c r="B422" t="s">
        <v>25</v>
      </c>
      <c r="C422">
        <v>2</v>
      </c>
      <c r="D422">
        <v>100</v>
      </c>
      <c r="E422">
        <v>0</v>
      </c>
      <c r="F422">
        <v>0</v>
      </c>
      <c r="G422" t="s">
        <v>18</v>
      </c>
      <c r="H422" t="s">
        <v>19</v>
      </c>
      <c r="I422">
        <v>1.8</v>
      </c>
      <c r="J422">
        <v>0</v>
      </c>
      <c r="K422">
        <v>1.0741175493632E-2</v>
      </c>
      <c r="L422">
        <v>1</v>
      </c>
      <c r="M422">
        <v>97.971999999999994</v>
      </c>
      <c r="N422">
        <v>1.8</v>
      </c>
      <c r="O422">
        <v>54.428888888888899</v>
      </c>
      <c r="P422">
        <v>5.9673197186844596E-3</v>
      </c>
    </row>
    <row r="423" spans="1:16" x14ac:dyDescent="0.2">
      <c r="A423" t="s">
        <v>26</v>
      </c>
      <c r="B423" t="s">
        <v>25</v>
      </c>
      <c r="C423">
        <v>2</v>
      </c>
      <c r="D423">
        <v>100</v>
      </c>
      <c r="E423">
        <v>0</v>
      </c>
      <c r="F423">
        <v>0</v>
      </c>
      <c r="G423" t="s">
        <v>18</v>
      </c>
      <c r="H423" t="s">
        <v>22</v>
      </c>
      <c r="I423">
        <v>1.92</v>
      </c>
      <c r="J423">
        <v>0</v>
      </c>
      <c r="K423">
        <v>1.07411385606874E-2</v>
      </c>
      <c r="L423">
        <v>1</v>
      </c>
      <c r="M423">
        <v>98</v>
      </c>
      <c r="N423">
        <v>1.92</v>
      </c>
      <c r="O423">
        <v>51.0416666666667</v>
      </c>
      <c r="P423">
        <v>5.5943430003580399E-3</v>
      </c>
    </row>
    <row r="424" spans="1:16" x14ac:dyDescent="0.2">
      <c r="A424" t="s">
        <v>26</v>
      </c>
      <c r="B424" t="s">
        <v>25</v>
      </c>
      <c r="C424">
        <v>2</v>
      </c>
      <c r="D424">
        <v>100</v>
      </c>
      <c r="E424">
        <v>0</v>
      </c>
      <c r="F424">
        <v>0</v>
      </c>
      <c r="G424" t="s">
        <v>23</v>
      </c>
      <c r="H424" t="s">
        <v>19</v>
      </c>
      <c r="I424">
        <v>2.02</v>
      </c>
      <c r="J424">
        <v>0</v>
      </c>
      <c r="K424">
        <v>1.0752250132772799E-2</v>
      </c>
      <c r="L424">
        <v>1</v>
      </c>
      <c r="M424">
        <v>95.628</v>
      </c>
      <c r="N424">
        <v>2.02</v>
      </c>
      <c r="O424">
        <v>47.340594059405902</v>
      </c>
      <c r="P424">
        <v>5.3228961053330597E-3</v>
      </c>
    </row>
    <row r="425" spans="1:16" x14ac:dyDescent="0.2">
      <c r="A425" t="s">
        <v>26</v>
      </c>
      <c r="B425" t="s">
        <v>25</v>
      </c>
      <c r="C425">
        <v>2</v>
      </c>
      <c r="D425">
        <v>100</v>
      </c>
      <c r="E425">
        <v>0</v>
      </c>
      <c r="F425">
        <v>0</v>
      </c>
      <c r="G425" t="s">
        <v>23</v>
      </c>
      <c r="H425" t="s">
        <v>22</v>
      </c>
      <c r="I425">
        <v>2.12</v>
      </c>
      <c r="J425">
        <v>0</v>
      </c>
      <c r="K425">
        <v>1.0768899418479401E-2</v>
      </c>
      <c r="L425">
        <v>1</v>
      </c>
      <c r="M425">
        <v>94</v>
      </c>
      <c r="N425">
        <v>2.12</v>
      </c>
      <c r="O425">
        <v>44.339622641509401</v>
      </c>
      <c r="P425">
        <v>5.0796695370185999E-3</v>
      </c>
    </row>
    <row r="426" spans="1:16" x14ac:dyDescent="0.2">
      <c r="A426" t="s">
        <v>26</v>
      </c>
      <c r="B426" t="s">
        <v>25</v>
      </c>
      <c r="C426">
        <v>5</v>
      </c>
      <c r="D426">
        <v>25</v>
      </c>
      <c r="E426">
        <v>0</v>
      </c>
      <c r="F426">
        <v>0</v>
      </c>
      <c r="G426" t="s">
        <v>18</v>
      </c>
      <c r="H426" t="s">
        <v>19</v>
      </c>
      <c r="I426">
        <v>1.34</v>
      </c>
      <c r="J426">
        <v>0</v>
      </c>
      <c r="K426">
        <v>1.17285150829504E-2</v>
      </c>
      <c r="L426">
        <v>1</v>
      </c>
      <c r="M426">
        <v>77.92</v>
      </c>
      <c r="N426">
        <v>1.34</v>
      </c>
      <c r="O426">
        <v>58.1492537313433</v>
      </c>
      <c r="P426">
        <v>8.75262319623165E-3</v>
      </c>
    </row>
    <row r="427" spans="1:16" x14ac:dyDescent="0.2">
      <c r="A427" t="s">
        <v>26</v>
      </c>
      <c r="B427" t="s">
        <v>25</v>
      </c>
      <c r="C427">
        <v>5</v>
      </c>
      <c r="D427">
        <v>25</v>
      </c>
      <c r="E427">
        <v>0</v>
      </c>
      <c r="F427">
        <v>0</v>
      </c>
      <c r="G427" t="s">
        <v>18</v>
      </c>
      <c r="H427" t="s">
        <v>22</v>
      </c>
      <c r="I427">
        <v>1.62</v>
      </c>
      <c r="J427">
        <v>0</v>
      </c>
      <c r="K427">
        <v>1.22880314573605E-2</v>
      </c>
      <c r="L427">
        <v>1</v>
      </c>
      <c r="M427">
        <v>68</v>
      </c>
      <c r="N427">
        <v>1.62</v>
      </c>
      <c r="O427">
        <v>41.975308641975303</v>
      </c>
      <c r="P427">
        <v>7.5852046033089704E-3</v>
      </c>
    </row>
    <row r="428" spans="1:16" x14ac:dyDescent="0.2">
      <c r="A428" t="s">
        <v>26</v>
      </c>
      <c r="B428" t="s">
        <v>25</v>
      </c>
      <c r="C428">
        <v>5</v>
      </c>
      <c r="D428">
        <v>25</v>
      </c>
      <c r="E428">
        <v>0</v>
      </c>
      <c r="F428">
        <v>0</v>
      </c>
      <c r="G428" t="s">
        <v>23</v>
      </c>
      <c r="H428" t="s">
        <v>19</v>
      </c>
      <c r="I428">
        <v>4.32</v>
      </c>
      <c r="J428">
        <v>0</v>
      </c>
      <c r="K428">
        <v>3.4564766898535E-2</v>
      </c>
      <c r="L428">
        <v>0.53200000000000003</v>
      </c>
      <c r="M428">
        <v>15.488</v>
      </c>
      <c r="N428">
        <v>4.32</v>
      </c>
      <c r="O428">
        <v>3.5851851851851899</v>
      </c>
      <c r="P428">
        <v>8.0011034487349406E-3</v>
      </c>
    </row>
    <row r="429" spans="1:16" x14ac:dyDescent="0.2">
      <c r="A429" t="s">
        <v>26</v>
      </c>
      <c r="B429" t="s">
        <v>25</v>
      </c>
      <c r="C429">
        <v>5</v>
      </c>
      <c r="D429">
        <v>25</v>
      </c>
      <c r="E429">
        <v>0</v>
      </c>
      <c r="F429">
        <v>0</v>
      </c>
      <c r="G429" t="s">
        <v>23</v>
      </c>
      <c r="H429" t="s">
        <v>22</v>
      </c>
      <c r="I429">
        <v>5</v>
      </c>
      <c r="J429">
        <v>0</v>
      </c>
      <c r="K429">
        <v>4.4786814761734097E-3</v>
      </c>
      <c r="L429">
        <v>0</v>
      </c>
      <c r="M429">
        <v>0</v>
      </c>
      <c r="N429">
        <v>5</v>
      </c>
      <c r="O429">
        <v>0</v>
      </c>
      <c r="P429">
        <v>8.95736295234683E-4</v>
      </c>
    </row>
    <row r="430" spans="1:16" x14ac:dyDescent="0.2">
      <c r="A430" t="s">
        <v>26</v>
      </c>
      <c r="B430" t="s">
        <v>25</v>
      </c>
      <c r="C430">
        <v>5</v>
      </c>
      <c r="D430">
        <v>50</v>
      </c>
      <c r="E430">
        <v>0</v>
      </c>
      <c r="F430">
        <v>0</v>
      </c>
      <c r="G430" t="s">
        <v>18</v>
      </c>
      <c r="H430" t="s">
        <v>19</v>
      </c>
      <c r="I430">
        <v>1.58</v>
      </c>
      <c r="J430">
        <v>0</v>
      </c>
      <c r="K430">
        <v>1.1141276442804099E-2</v>
      </c>
      <c r="L430">
        <v>1</v>
      </c>
      <c r="M430">
        <v>88</v>
      </c>
      <c r="N430">
        <v>1.58</v>
      </c>
      <c r="O430">
        <v>55.696202531645604</v>
      </c>
      <c r="P430">
        <v>7.0514407865848502E-3</v>
      </c>
    </row>
    <row r="431" spans="1:16" x14ac:dyDescent="0.2">
      <c r="A431" t="s">
        <v>26</v>
      </c>
      <c r="B431" t="s">
        <v>25</v>
      </c>
      <c r="C431">
        <v>5</v>
      </c>
      <c r="D431">
        <v>50</v>
      </c>
      <c r="E431">
        <v>0</v>
      </c>
      <c r="F431">
        <v>0</v>
      </c>
      <c r="G431" t="s">
        <v>18</v>
      </c>
      <c r="H431" t="s">
        <v>22</v>
      </c>
      <c r="I431">
        <v>1.8</v>
      </c>
      <c r="J431">
        <v>0</v>
      </c>
      <c r="K431">
        <v>1.1246063877642799E-2</v>
      </c>
      <c r="L431">
        <v>1</v>
      </c>
      <c r="M431">
        <v>88</v>
      </c>
      <c r="N431">
        <v>1.8</v>
      </c>
      <c r="O431">
        <v>48.8888888888889</v>
      </c>
      <c r="P431">
        <v>6.2478132653571196E-3</v>
      </c>
    </row>
    <row r="432" spans="1:16" x14ac:dyDescent="0.2">
      <c r="A432" t="s">
        <v>26</v>
      </c>
      <c r="B432" t="s">
        <v>25</v>
      </c>
      <c r="C432">
        <v>5</v>
      </c>
      <c r="D432">
        <v>50</v>
      </c>
      <c r="E432">
        <v>0</v>
      </c>
      <c r="F432">
        <v>0</v>
      </c>
      <c r="G432" t="s">
        <v>23</v>
      </c>
      <c r="H432" t="s">
        <v>19</v>
      </c>
      <c r="I432">
        <v>2.2799999999999998</v>
      </c>
      <c r="J432">
        <v>0</v>
      </c>
      <c r="K432">
        <v>1.1637718363415201E-2</v>
      </c>
      <c r="L432">
        <v>1</v>
      </c>
      <c r="M432">
        <v>78.62</v>
      </c>
      <c r="N432">
        <v>2.2799999999999998</v>
      </c>
      <c r="O432">
        <v>34.482456140350898</v>
      </c>
      <c r="P432">
        <v>5.1042624400943698E-3</v>
      </c>
    </row>
    <row r="433" spans="1:16" x14ac:dyDescent="0.2">
      <c r="A433" t="s">
        <v>26</v>
      </c>
      <c r="B433" t="s">
        <v>25</v>
      </c>
      <c r="C433">
        <v>5</v>
      </c>
      <c r="D433">
        <v>50</v>
      </c>
      <c r="E433">
        <v>0</v>
      </c>
      <c r="F433">
        <v>0</v>
      </c>
      <c r="G433" t="s">
        <v>23</v>
      </c>
      <c r="H433" t="s">
        <v>22</v>
      </c>
      <c r="I433">
        <v>3.4</v>
      </c>
      <c r="J433">
        <v>0</v>
      </c>
      <c r="K433">
        <v>1.2671059300557499E-2</v>
      </c>
      <c r="L433">
        <v>1</v>
      </c>
      <c r="M433">
        <v>68</v>
      </c>
      <c r="N433">
        <v>3.4</v>
      </c>
      <c r="O433">
        <v>20</v>
      </c>
      <c r="P433">
        <v>3.7267821472228E-3</v>
      </c>
    </row>
    <row r="434" spans="1:16" x14ac:dyDescent="0.2">
      <c r="A434" t="s">
        <v>26</v>
      </c>
      <c r="B434" t="s">
        <v>25</v>
      </c>
      <c r="C434">
        <v>5</v>
      </c>
      <c r="D434">
        <v>75</v>
      </c>
      <c r="E434">
        <v>0</v>
      </c>
      <c r="F434">
        <v>0</v>
      </c>
      <c r="G434" t="s">
        <v>18</v>
      </c>
      <c r="H434" t="s">
        <v>19</v>
      </c>
      <c r="I434">
        <v>1.68</v>
      </c>
      <c r="J434">
        <v>0</v>
      </c>
      <c r="K434">
        <v>1.0868358527901301E-2</v>
      </c>
      <c r="L434">
        <v>1</v>
      </c>
      <c r="M434">
        <v>88.012</v>
      </c>
      <c r="N434">
        <v>1.68</v>
      </c>
      <c r="O434">
        <v>52.388095238095197</v>
      </c>
      <c r="P434">
        <v>6.4692610285126797E-3</v>
      </c>
    </row>
    <row r="435" spans="1:16" x14ac:dyDescent="0.2">
      <c r="A435" t="s">
        <v>26</v>
      </c>
      <c r="B435" t="s">
        <v>25</v>
      </c>
      <c r="C435">
        <v>5</v>
      </c>
      <c r="D435">
        <v>75</v>
      </c>
      <c r="E435">
        <v>0</v>
      </c>
      <c r="F435">
        <v>0</v>
      </c>
      <c r="G435" t="s">
        <v>18</v>
      </c>
      <c r="H435" t="s">
        <v>22</v>
      </c>
      <c r="I435">
        <v>1.84</v>
      </c>
      <c r="J435">
        <v>0</v>
      </c>
      <c r="K435">
        <v>1.09529025191676E-2</v>
      </c>
      <c r="L435">
        <v>1</v>
      </c>
      <c r="M435">
        <v>88</v>
      </c>
      <c r="N435">
        <v>1.84</v>
      </c>
      <c r="O435">
        <v>47.826086956521699</v>
      </c>
      <c r="P435">
        <v>5.9526644125910801E-3</v>
      </c>
    </row>
    <row r="436" spans="1:16" x14ac:dyDescent="0.2">
      <c r="A436" t="s">
        <v>26</v>
      </c>
      <c r="B436" t="s">
        <v>25</v>
      </c>
      <c r="C436">
        <v>5</v>
      </c>
      <c r="D436">
        <v>75</v>
      </c>
      <c r="E436">
        <v>0</v>
      </c>
      <c r="F436">
        <v>0</v>
      </c>
      <c r="G436" t="s">
        <v>23</v>
      </c>
      <c r="H436" t="s">
        <v>19</v>
      </c>
      <c r="I436">
        <v>2.1</v>
      </c>
      <c r="J436">
        <v>0</v>
      </c>
      <c r="K436">
        <v>1.1064763676222901E-2</v>
      </c>
      <c r="L436">
        <v>1</v>
      </c>
      <c r="M436">
        <v>88</v>
      </c>
      <c r="N436">
        <v>2.1</v>
      </c>
      <c r="O436">
        <v>41.904761904761898</v>
      </c>
      <c r="P436">
        <v>5.2689350839156598E-3</v>
      </c>
    </row>
    <row r="437" spans="1:16" x14ac:dyDescent="0.2">
      <c r="A437" t="s">
        <v>26</v>
      </c>
      <c r="B437" t="s">
        <v>25</v>
      </c>
      <c r="C437">
        <v>5</v>
      </c>
      <c r="D437">
        <v>75</v>
      </c>
      <c r="E437">
        <v>0</v>
      </c>
      <c r="F437">
        <v>0</v>
      </c>
      <c r="G437" t="s">
        <v>23</v>
      </c>
      <c r="H437" t="s">
        <v>22</v>
      </c>
      <c r="I437">
        <v>2.44</v>
      </c>
      <c r="J437">
        <v>0</v>
      </c>
      <c r="K437">
        <v>1.11781801922647E-2</v>
      </c>
      <c r="L437">
        <v>1</v>
      </c>
      <c r="M437">
        <v>88</v>
      </c>
      <c r="N437">
        <v>2.44</v>
      </c>
      <c r="O437">
        <v>36.065573770491802</v>
      </c>
      <c r="P437">
        <v>4.5812213902724202E-3</v>
      </c>
    </row>
    <row r="438" spans="1:16" x14ac:dyDescent="0.2">
      <c r="A438" t="s">
        <v>26</v>
      </c>
      <c r="B438" t="s">
        <v>25</v>
      </c>
      <c r="C438">
        <v>5</v>
      </c>
      <c r="D438">
        <v>100</v>
      </c>
      <c r="E438">
        <v>0</v>
      </c>
      <c r="F438">
        <v>0</v>
      </c>
      <c r="G438" t="s">
        <v>18</v>
      </c>
      <c r="H438" t="s">
        <v>19</v>
      </c>
      <c r="I438">
        <v>1.8</v>
      </c>
      <c r="J438">
        <v>0</v>
      </c>
      <c r="K438">
        <v>1.0741166267837599E-2</v>
      </c>
      <c r="L438">
        <v>1</v>
      </c>
      <c r="M438">
        <v>97.983999999999995</v>
      </c>
      <c r="N438">
        <v>1.8</v>
      </c>
      <c r="O438">
        <v>54.435555555555602</v>
      </c>
      <c r="P438">
        <v>5.9673145932431296E-3</v>
      </c>
    </row>
    <row r="439" spans="1:16" x14ac:dyDescent="0.2">
      <c r="A439" t="s">
        <v>26</v>
      </c>
      <c r="B439" t="s">
        <v>25</v>
      </c>
      <c r="C439">
        <v>5</v>
      </c>
      <c r="D439">
        <v>100</v>
      </c>
      <c r="E439">
        <v>0</v>
      </c>
      <c r="F439">
        <v>0</v>
      </c>
      <c r="G439" t="s">
        <v>18</v>
      </c>
      <c r="H439" t="s">
        <v>22</v>
      </c>
      <c r="I439">
        <v>1.92</v>
      </c>
      <c r="J439">
        <v>0</v>
      </c>
      <c r="K439">
        <v>1.07411385606874E-2</v>
      </c>
      <c r="L439">
        <v>1</v>
      </c>
      <c r="M439">
        <v>98</v>
      </c>
      <c r="N439">
        <v>1.92</v>
      </c>
      <c r="O439">
        <v>51.0416666666667</v>
      </c>
      <c r="P439">
        <v>5.5943430003580399E-3</v>
      </c>
    </row>
    <row r="440" spans="1:16" x14ac:dyDescent="0.2">
      <c r="A440" t="s">
        <v>26</v>
      </c>
      <c r="B440" t="s">
        <v>25</v>
      </c>
      <c r="C440">
        <v>5</v>
      </c>
      <c r="D440">
        <v>100</v>
      </c>
      <c r="E440">
        <v>0</v>
      </c>
      <c r="F440">
        <v>0</v>
      </c>
      <c r="G440" t="s">
        <v>23</v>
      </c>
      <c r="H440" t="s">
        <v>19</v>
      </c>
      <c r="I440">
        <v>1.98</v>
      </c>
      <c r="J440">
        <v>0</v>
      </c>
      <c r="K440">
        <v>1.07572746020999E-2</v>
      </c>
      <c r="L440">
        <v>1</v>
      </c>
      <c r="M440">
        <v>94.08</v>
      </c>
      <c r="N440">
        <v>1.98</v>
      </c>
      <c r="O440">
        <v>47.515151515151501</v>
      </c>
      <c r="P440">
        <v>5.4329669707574996E-3</v>
      </c>
    </row>
    <row r="441" spans="1:16" x14ac:dyDescent="0.2">
      <c r="A441" t="s">
        <v>26</v>
      </c>
      <c r="B441" t="s">
        <v>25</v>
      </c>
      <c r="C441">
        <v>5</v>
      </c>
      <c r="D441">
        <v>100</v>
      </c>
      <c r="E441">
        <v>0</v>
      </c>
      <c r="F441">
        <v>0</v>
      </c>
      <c r="G441" t="s">
        <v>23</v>
      </c>
      <c r="H441" t="s">
        <v>22</v>
      </c>
      <c r="I441">
        <v>2.02</v>
      </c>
      <c r="J441">
        <v>0</v>
      </c>
      <c r="K441">
        <v>1.07874865156419E-2</v>
      </c>
      <c r="L441">
        <v>1</v>
      </c>
      <c r="M441">
        <v>88</v>
      </c>
      <c r="N441">
        <v>2.02</v>
      </c>
      <c r="O441">
        <v>43.564356435643603</v>
      </c>
      <c r="P441">
        <v>5.34033985922864E-3</v>
      </c>
    </row>
    <row r="442" spans="1:16" x14ac:dyDescent="0.2">
      <c r="A442" t="s">
        <v>26</v>
      </c>
      <c r="B442" t="s">
        <v>25</v>
      </c>
      <c r="C442">
        <v>1</v>
      </c>
      <c r="D442">
        <v>12</v>
      </c>
      <c r="E442">
        <v>1</v>
      </c>
      <c r="F442">
        <v>12</v>
      </c>
      <c r="G442" t="s">
        <v>18</v>
      </c>
      <c r="H442" t="s">
        <v>19</v>
      </c>
      <c r="I442">
        <v>1.46</v>
      </c>
      <c r="J442">
        <v>1.46</v>
      </c>
      <c r="K442">
        <v>1.12754523437835E-2</v>
      </c>
      <c r="L442">
        <v>1</v>
      </c>
      <c r="M442">
        <v>86.932000000000002</v>
      </c>
      <c r="N442">
        <v>2.92</v>
      </c>
      <c r="O442">
        <v>29.7712328767123</v>
      </c>
      <c r="P442">
        <v>3.8614562821176301E-3</v>
      </c>
    </row>
    <row r="443" spans="1:16" x14ac:dyDescent="0.2">
      <c r="A443" t="s">
        <v>26</v>
      </c>
      <c r="B443" t="s">
        <v>25</v>
      </c>
      <c r="C443">
        <v>1</v>
      </c>
      <c r="D443">
        <v>12</v>
      </c>
      <c r="E443">
        <v>1</v>
      </c>
      <c r="F443">
        <v>12</v>
      </c>
      <c r="G443" t="s">
        <v>18</v>
      </c>
      <c r="H443" t="s">
        <v>22</v>
      </c>
      <c r="I443">
        <v>1.64</v>
      </c>
      <c r="J443">
        <v>1.64</v>
      </c>
      <c r="K443">
        <v>1.14051094890511E-2</v>
      </c>
      <c r="L443">
        <v>1</v>
      </c>
      <c r="M443">
        <v>86</v>
      </c>
      <c r="N443">
        <v>3.28</v>
      </c>
      <c r="O443">
        <v>26.219512195122</v>
      </c>
      <c r="P443">
        <v>3.4771675271497199E-3</v>
      </c>
    </row>
    <row r="444" spans="1:16" x14ac:dyDescent="0.2">
      <c r="A444" t="s">
        <v>26</v>
      </c>
      <c r="B444" t="s">
        <v>25</v>
      </c>
      <c r="C444">
        <v>1</v>
      </c>
      <c r="D444">
        <v>12</v>
      </c>
      <c r="E444">
        <v>1</v>
      </c>
      <c r="F444">
        <v>12</v>
      </c>
      <c r="G444" t="s">
        <v>23</v>
      </c>
      <c r="H444" t="s">
        <v>19</v>
      </c>
      <c r="I444">
        <v>1.98</v>
      </c>
      <c r="J444">
        <v>1.8</v>
      </c>
      <c r="K444">
        <v>1.1712635255767601E-2</v>
      </c>
      <c r="L444">
        <v>1</v>
      </c>
      <c r="M444">
        <v>82.5</v>
      </c>
      <c r="N444">
        <v>3.78</v>
      </c>
      <c r="O444">
        <v>21.825396825396801</v>
      </c>
      <c r="P444">
        <v>3.0985807554940801E-3</v>
      </c>
    </row>
    <row r="445" spans="1:16" x14ac:dyDescent="0.2">
      <c r="A445" t="s">
        <v>26</v>
      </c>
      <c r="B445" t="s">
        <v>25</v>
      </c>
      <c r="C445">
        <v>1</v>
      </c>
      <c r="D445">
        <v>12</v>
      </c>
      <c r="E445">
        <v>1</v>
      </c>
      <c r="F445">
        <v>12</v>
      </c>
      <c r="G445" t="s">
        <v>23</v>
      </c>
      <c r="H445" t="s">
        <v>22</v>
      </c>
      <c r="I445">
        <v>2.72</v>
      </c>
      <c r="J445">
        <v>2.72</v>
      </c>
      <c r="K445">
        <v>1.23334977799704E-2</v>
      </c>
      <c r="L445">
        <v>1</v>
      </c>
      <c r="M445">
        <v>76</v>
      </c>
      <c r="N445">
        <v>5.44</v>
      </c>
      <c r="O445">
        <v>13.9705882352941</v>
      </c>
      <c r="P445">
        <v>2.2671870919063202E-3</v>
      </c>
    </row>
    <row r="446" spans="1:16" x14ac:dyDescent="0.2">
      <c r="A446" t="s">
        <v>26</v>
      </c>
      <c r="B446" t="s">
        <v>25</v>
      </c>
      <c r="C446">
        <v>1</v>
      </c>
      <c r="D446">
        <v>25</v>
      </c>
      <c r="E446">
        <v>1</v>
      </c>
      <c r="F446">
        <v>25</v>
      </c>
      <c r="G446" t="s">
        <v>18</v>
      </c>
      <c r="H446" t="s">
        <v>19</v>
      </c>
      <c r="I446">
        <v>1.54</v>
      </c>
      <c r="J446">
        <v>1.54</v>
      </c>
      <c r="K446">
        <v>1.0955860360496301E-2</v>
      </c>
      <c r="L446">
        <v>1</v>
      </c>
      <c r="M446">
        <v>92.611999999999995</v>
      </c>
      <c r="N446">
        <v>3.08</v>
      </c>
      <c r="O446">
        <v>30.068831168831199</v>
      </c>
      <c r="P446">
        <v>3.5570975196416699E-3</v>
      </c>
    </row>
    <row r="447" spans="1:16" x14ac:dyDescent="0.2">
      <c r="A447" t="s">
        <v>26</v>
      </c>
      <c r="B447" t="s">
        <v>25</v>
      </c>
      <c r="C447">
        <v>1</v>
      </c>
      <c r="D447">
        <v>25</v>
      </c>
      <c r="E447">
        <v>1</v>
      </c>
      <c r="F447">
        <v>25</v>
      </c>
      <c r="G447" t="s">
        <v>18</v>
      </c>
      <c r="H447" t="s">
        <v>22</v>
      </c>
      <c r="I447">
        <v>1.64</v>
      </c>
      <c r="J447">
        <v>1.64</v>
      </c>
      <c r="K447">
        <v>1.0989010989011E-2</v>
      </c>
      <c r="L447">
        <v>1</v>
      </c>
      <c r="M447">
        <v>92</v>
      </c>
      <c r="N447">
        <v>3.28</v>
      </c>
      <c r="O447">
        <v>28.048780487804901</v>
      </c>
      <c r="P447">
        <v>3.3503082283570101E-3</v>
      </c>
    </row>
    <row r="448" spans="1:16" x14ac:dyDescent="0.2">
      <c r="A448" t="s">
        <v>26</v>
      </c>
      <c r="B448" t="s">
        <v>25</v>
      </c>
      <c r="C448">
        <v>1</v>
      </c>
      <c r="D448">
        <v>25</v>
      </c>
      <c r="E448">
        <v>1</v>
      </c>
      <c r="F448">
        <v>25</v>
      </c>
      <c r="G448" t="s">
        <v>23</v>
      </c>
      <c r="H448" t="s">
        <v>19</v>
      </c>
      <c r="I448">
        <v>1.78</v>
      </c>
      <c r="J448">
        <v>1.7</v>
      </c>
      <c r="K448">
        <v>1.1046166152697001E-2</v>
      </c>
      <c r="L448">
        <v>1</v>
      </c>
      <c r="M448">
        <v>92</v>
      </c>
      <c r="N448">
        <v>3.48</v>
      </c>
      <c r="O448">
        <v>26.4367816091954</v>
      </c>
      <c r="P448">
        <v>3.1741856760623501E-3</v>
      </c>
    </row>
    <row r="449" spans="1:16" x14ac:dyDescent="0.2">
      <c r="A449" t="s">
        <v>26</v>
      </c>
      <c r="B449" t="s">
        <v>25</v>
      </c>
      <c r="C449">
        <v>1</v>
      </c>
      <c r="D449">
        <v>25</v>
      </c>
      <c r="E449">
        <v>1</v>
      </c>
      <c r="F449">
        <v>25</v>
      </c>
      <c r="G449" t="s">
        <v>23</v>
      </c>
      <c r="H449" t="s">
        <v>22</v>
      </c>
      <c r="I449">
        <v>2</v>
      </c>
      <c r="J449">
        <v>1.88</v>
      </c>
      <c r="K449">
        <v>1.1101243339254E-2</v>
      </c>
      <c r="L449">
        <v>1</v>
      </c>
      <c r="M449">
        <v>92</v>
      </c>
      <c r="N449">
        <v>3.88</v>
      </c>
      <c r="O449">
        <v>23.7113402061856</v>
      </c>
      <c r="P449">
        <v>2.8611451905293799E-3</v>
      </c>
    </row>
    <row r="450" spans="1:16" x14ac:dyDescent="0.2">
      <c r="A450" t="s">
        <v>26</v>
      </c>
      <c r="B450" t="s">
        <v>25</v>
      </c>
      <c r="C450">
        <v>1</v>
      </c>
      <c r="D450">
        <v>37</v>
      </c>
      <c r="E450">
        <v>1</v>
      </c>
      <c r="F450">
        <v>37</v>
      </c>
      <c r="G450" t="s">
        <v>18</v>
      </c>
      <c r="H450" t="s">
        <v>19</v>
      </c>
      <c r="I450">
        <v>1.56</v>
      </c>
      <c r="J450">
        <v>1.6</v>
      </c>
      <c r="K450">
        <v>1.08549194588703E-2</v>
      </c>
      <c r="L450">
        <v>1</v>
      </c>
      <c r="M450">
        <v>94.212000000000003</v>
      </c>
      <c r="N450">
        <v>3.16</v>
      </c>
      <c r="O450">
        <v>29.813924050632899</v>
      </c>
      <c r="P450">
        <v>3.4351010945792102E-3</v>
      </c>
    </row>
    <row r="451" spans="1:16" x14ac:dyDescent="0.2">
      <c r="A451" t="s">
        <v>26</v>
      </c>
      <c r="B451" t="s">
        <v>25</v>
      </c>
      <c r="C451">
        <v>1</v>
      </c>
      <c r="D451">
        <v>37</v>
      </c>
      <c r="E451">
        <v>1</v>
      </c>
      <c r="F451">
        <v>37</v>
      </c>
      <c r="G451" t="s">
        <v>18</v>
      </c>
      <c r="H451" t="s">
        <v>22</v>
      </c>
      <c r="I451">
        <v>1.64</v>
      </c>
      <c r="J451">
        <v>1.64</v>
      </c>
      <c r="K451">
        <v>1.08742931709439E-2</v>
      </c>
      <c r="L451">
        <v>1</v>
      </c>
      <c r="M451">
        <v>94</v>
      </c>
      <c r="N451">
        <v>3.28</v>
      </c>
      <c r="O451">
        <v>28.658536585365901</v>
      </c>
      <c r="P451">
        <v>3.31533328382436E-3</v>
      </c>
    </row>
    <row r="452" spans="1:16" x14ac:dyDescent="0.2">
      <c r="A452" t="s">
        <v>26</v>
      </c>
      <c r="B452" t="s">
        <v>25</v>
      </c>
      <c r="C452">
        <v>1</v>
      </c>
      <c r="D452">
        <v>37</v>
      </c>
      <c r="E452">
        <v>1</v>
      </c>
      <c r="F452">
        <v>37</v>
      </c>
      <c r="G452" t="s">
        <v>23</v>
      </c>
      <c r="H452" t="s">
        <v>19</v>
      </c>
      <c r="I452">
        <v>1.7</v>
      </c>
      <c r="J452">
        <v>1.62</v>
      </c>
      <c r="K452">
        <v>1.0896905079647501E-2</v>
      </c>
      <c r="L452">
        <v>1</v>
      </c>
      <c r="M452">
        <v>94</v>
      </c>
      <c r="N452">
        <v>3.32</v>
      </c>
      <c r="O452">
        <v>28.3132530120482</v>
      </c>
      <c r="P452">
        <v>3.2822003251950201E-3</v>
      </c>
    </row>
    <row r="453" spans="1:16" x14ac:dyDescent="0.2">
      <c r="A453" t="s">
        <v>26</v>
      </c>
      <c r="B453" t="s">
        <v>25</v>
      </c>
      <c r="C453">
        <v>1</v>
      </c>
      <c r="D453">
        <v>37</v>
      </c>
      <c r="E453">
        <v>1</v>
      </c>
      <c r="F453">
        <v>37</v>
      </c>
      <c r="G453" t="s">
        <v>23</v>
      </c>
      <c r="H453" t="s">
        <v>22</v>
      </c>
      <c r="I453">
        <v>1.82</v>
      </c>
      <c r="J453">
        <v>1.76</v>
      </c>
      <c r="K453">
        <v>1.0917030567685599E-2</v>
      </c>
      <c r="L453">
        <v>1</v>
      </c>
      <c r="M453">
        <v>94</v>
      </c>
      <c r="N453">
        <v>3.58</v>
      </c>
      <c r="O453">
        <v>26.256983240223501</v>
      </c>
      <c r="P453">
        <v>3.0494498792417802E-3</v>
      </c>
    </row>
    <row r="454" spans="1:16" x14ac:dyDescent="0.2">
      <c r="A454" t="s">
        <v>26</v>
      </c>
      <c r="B454" t="s">
        <v>25</v>
      </c>
      <c r="C454">
        <v>1</v>
      </c>
      <c r="D454">
        <v>50</v>
      </c>
      <c r="E454">
        <v>1</v>
      </c>
      <c r="F454">
        <v>50</v>
      </c>
      <c r="G454" t="s">
        <v>18</v>
      </c>
      <c r="H454" t="s">
        <v>19</v>
      </c>
      <c r="I454">
        <v>1.58</v>
      </c>
      <c r="J454">
        <v>1.52</v>
      </c>
      <c r="K454">
        <v>1.08108323304655E-2</v>
      </c>
      <c r="L454">
        <v>1</v>
      </c>
      <c r="M454">
        <v>96</v>
      </c>
      <c r="N454">
        <v>3.1</v>
      </c>
      <c r="O454">
        <v>30.9677419354839</v>
      </c>
      <c r="P454">
        <v>3.4873652678921001E-3</v>
      </c>
    </row>
    <row r="455" spans="1:16" x14ac:dyDescent="0.2">
      <c r="A455" t="s">
        <v>26</v>
      </c>
      <c r="B455" t="s">
        <v>25</v>
      </c>
      <c r="C455">
        <v>1</v>
      </c>
      <c r="D455">
        <v>50</v>
      </c>
      <c r="E455">
        <v>1</v>
      </c>
      <c r="F455">
        <v>50</v>
      </c>
      <c r="G455" t="s">
        <v>18</v>
      </c>
      <c r="H455" t="s">
        <v>22</v>
      </c>
      <c r="I455">
        <v>1.64</v>
      </c>
      <c r="J455">
        <v>1.54</v>
      </c>
      <c r="K455">
        <v>1.0817827780181701E-2</v>
      </c>
      <c r="L455">
        <v>1</v>
      </c>
      <c r="M455">
        <v>96</v>
      </c>
      <c r="N455">
        <v>3.18</v>
      </c>
      <c r="O455">
        <v>30.188679245283002</v>
      </c>
      <c r="P455">
        <v>3.40183263527728E-3</v>
      </c>
    </row>
    <row r="456" spans="1:16" x14ac:dyDescent="0.2">
      <c r="A456" t="s">
        <v>26</v>
      </c>
      <c r="B456" t="s">
        <v>25</v>
      </c>
      <c r="C456">
        <v>1</v>
      </c>
      <c r="D456">
        <v>50</v>
      </c>
      <c r="E456">
        <v>1</v>
      </c>
      <c r="F456">
        <v>50</v>
      </c>
      <c r="G456" t="s">
        <v>23</v>
      </c>
      <c r="H456" t="s">
        <v>19</v>
      </c>
      <c r="I456">
        <v>1.72</v>
      </c>
      <c r="J456">
        <v>1.52</v>
      </c>
      <c r="K456">
        <v>1.08305299255158E-2</v>
      </c>
      <c r="L456">
        <v>1</v>
      </c>
      <c r="M456">
        <v>96</v>
      </c>
      <c r="N456">
        <v>3.24</v>
      </c>
      <c r="O456">
        <v>29.629629629629601</v>
      </c>
      <c r="P456">
        <v>3.3427561498505401E-3</v>
      </c>
    </row>
    <row r="457" spans="1:16" x14ac:dyDescent="0.2">
      <c r="A457" t="s">
        <v>26</v>
      </c>
      <c r="B457" t="s">
        <v>25</v>
      </c>
      <c r="C457">
        <v>1</v>
      </c>
      <c r="D457">
        <v>50</v>
      </c>
      <c r="E457">
        <v>1</v>
      </c>
      <c r="F457">
        <v>50</v>
      </c>
      <c r="G457" t="s">
        <v>23</v>
      </c>
      <c r="H457" t="s">
        <v>22</v>
      </c>
      <c r="I457">
        <v>1.82</v>
      </c>
      <c r="J457">
        <v>1.6</v>
      </c>
      <c r="K457">
        <v>1.0838933448948601E-2</v>
      </c>
      <c r="L457">
        <v>1</v>
      </c>
      <c r="M457">
        <v>96</v>
      </c>
      <c r="N457">
        <v>3.42</v>
      </c>
      <c r="O457">
        <v>28.0701754385965</v>
      </c>
      <c r="P457">
        <v>3.1692787862422898E-3</v>
      </c>
    </row>
    <row r="458" spans="1:16" x14ac:dyDescent="0.2">
      <c r="A458" t="s">
        <v>26</v>
      </c>
      <c r="B458" t="s">
        <v>25</v>
      </c>
      <c r="C458">
        <v>2</v>
      </c>
      <c r="D458">
        <v>12</v>
      </c>
      <c r="E458">
        <v>2</v>
      </c>
      <c r="F458">
        <v>12</v>
      </c>
      <c r="G458" t="s">
        <v>18</v>
      </c>
      <c r="H458" t="s">
        <v>19</v>
      </c>
      <c r="I458">
        <v>1.28</v>
      </c>
      <c r="J458">
        <v>1.24</v>
      </c>
      <c r="K458">
        <v>1.17105349623967E-2</v>
      </c>
      <c r="L458">
        <v>1</v>
      </c>
      <c r="M458">
        <v>78.42</v>
      </c>
      <c r="N458">
        <v>2.52</v>
      </c>
      <c r="O458">
        <v>31.119047619047599</v>
      </c>
      <c r="P458">
        <v>4.6470376834907602E-3</v>
      </c>
    </row>
    <row r="459" spans="1:16" x14ac:dyDescent="0.2">
      <c r="A459" t="s">
        <v>26</v>
      </c>
      <c r="B459" t="s">
        <v>25</v>
      </c>
      <c r="C459">
        <v>2</v>
      </c>
      <c r="D459">
        <v>12</v>
      </c>
      <c r="E459">
        <v>2</v>
      </c>
      <c r="F459">
        <v>12</v>
      </c>
      <c r="G459" t="s">
        <v>18</v>
      </c>
      <c r="H459" t="s">
        <v>22</v>
      </c>
      <c r="I459">
        <v>1.54</v>
      </c>
      <c r="J459">
        <v>1.54</v>
      </c>
      <c r="K459">
        <v>1.21418164157358E-2</v>
      </c>
      <c r="L459">
        <v>1</v>
      </c>
      <c r="M459">
        <v>74</v>
      </c>
      <c r="N459">
        <v>3.08</v>
      </c>
      <c r="O459">
        <v>24.025974025974001</v>
      </c>
      <c r="P459">
        <v>3.9421481869272102E-3</v>
      </c>
    </row>
    <row r="460" spans="1:16" x14ac:dyDescent="0.2">
      <c r="A460" t="s">
        <v>26</v>
      </c>
      <c r="B460" t="s">
        <v>25</v>
      </c>
      <c r="C460">
        <v>2</v>
      </c>
      <c r="D460">
        <v>12</v>
      </c>
      <c r="E460">
        <v>2</v>
      </c>
      <c r="F460">
        <v>12</v>
      </c>
      <c r="G460" t="s">
        <v>23</v>
      </c>
      <c r="H460" t="s">
        <v>19</v>
      </c>
      <c r="I460">
        <v>2.7</v>
      </c>
      <c r="J460">
        <v>2.86</v>
      </c>
      <c r="K460">
        <v>1.49033804337519E-2</v>
      </c>
      <c r="L460">
        <v>0.998</v>
      </c>
      <c r="M460">
        <v>55</v>
      </c>
      <c r="N460">
        <v>5.56</v>
      </c>
      <c r="O460">
        <v>9.8920863309352498</v>
      </c>
      <c r="P460">
        <v>2.6804641067899098E-3</v>
      </c>
    </row>
    <row r="461" spans="1:16" x14ac:dyDescent="0.2">
      <c r="A461" t="s">
        <v>26</v>
      </c>
      <c r="B461" t="s">
        <v>25</v>
      </c>
      <c r="C461">
        <v>2</v>
      </c>
      <c r="D461">
        <v>12</v>
      </c>
      <c r="E461">
        <v>2</v>
      </c>
      <c r="F461">
        <v>12</v>
      </c>
      <c r="G461" t="s">
        <v>23</v>
      </c>
      <c r="H461" t="s">
        <v>22</v>
      </c>
      <c r="I461">
        <v>6</v>
      </c>
      <c r="J461">
        <v>6</v>
      </c>
      <c r="K461">
        <v>5.1738410596026503E-3</v>
      </c>
      <c r="L461">
        <v>0</v>
      </c>
      <c r="M461">
        <v>0</v>
      </c>
      <c r="N461">
        <v>12</v>
      </c>
      <c r="O461">
        <v>0</v>
      </c>
      <c r="P461">
        <v>4.3115342163355401E-4</v>
      </c>
    </row>
    <row r="462" spans="1:16" x14ac:dyDescent="0.2">
      <c r="A462" t="s">
        <v>26</v>
      </c>
      <c r="B462" t="s">
        <v>25</v>
      </c>
      <c r="C462">
        <v>2</v>
      </c>
      <c r="D462">
        <v>25</v>
      </c>
      <c r="E462">
        <v>2</v>
      </c>
      <c r="F462">
        <v>25</v>
      </c>
      <c r="G462" t="s">
        <v>18</v>
      </c>
      <c r="H462" t="s">
        <v>19</v>
      </c>
      <c r="I462">
        <v>1.46</v>
      </c>
      <c r="J462">
        <v>1.36</v>
      </c>
      <c r="K462">
        <v>1.1153523173683901E-2</v>
      </c>
      <c r="L462">
        <v>1</v>
      </c>
      <c r="M462">
        <v>89.516000000000005</v>
      </c>
      <c r="N462">
        <v>2.82</v>
      </c>
      <c r="O462">
        <v>31.743262411347501</v>
      </c>
      <c r="P462">
        <v>3.9551500615900397E-3</v>
      </c>
    </row>
    <row r="463" spans="1:16" x14ac:dyDescent="0.2">
      <c r="A463" t="s">
        <v>26</v>
      </c>
      <c r="B463" t="s">
        <v>25</v>
      </c>
      <c r="C463">
        <v>2</v>
      </c>
      <c r="D463">
        <v>25</v>
      </c>
      <c r="E463">
        <v>2</v>
      </c>
      <c r="F463">
        <v>25</v>
      </c>
      <c r="G463" t="s">
        <v>18</v>
      </c>
      <c r="H463" t="s">
        <v>22</v>
      </c>
      <c r="I463">
        <v>1.6</v>
      </c>
      <c r="J463">
        <v>1.6</v>
      </c>
      <c r="K463">
        <v>1.1258725512272E-2</v>
      </c>
      <c r="L463">
        <v>1</v>
      </c>
      <c r="M463">
        <v>86</v>
      </c>
      <c r="N463">
        <v>3.2</v>
      </c>
      <c r="O463">
        <v>26.875</v>
      </c>
      <c r="P463">
        <v>3.5183517225849999E-3</v>
      </c>
    </row>
    <row r="464" spans="1:16" x14ac:dyDescent="0.2">
      <c r="A464" t="s">
        <v>26</v>
      </c>
      <c r="B464" t="s">
        <v>25</v>
      </c>
      <c r="C464">
        <v>2</v>
      </c>
      <c r="D464">
        <v>25</v>
      </c>
      <c r="E464">
        <v>2</v>
      </c>
      <c r="F464">
        <v>25</v>
      </c>
      <c r="G464" t="s">
        <v>23</v>
      </c>
      <c r="H464" t="s">
        <v>19</v>
      </c>
      <c r="I464">
        <v>1.92</v>
      </c>
      <c r="J464">
        <v>1.88</v>
      </c>
      <c r="K464">
        <v>1.1452535731651999E-2</v>
      </c>
      <c r="L464">
        <v>1</v>
      </c>
      <c r="M464">
        <v>85.384</v>
      </c>
      <c r="N464">
        <v>3.8</v>
      </c>
      <c r="O464">
        <v>22.469473684210499</v>
      </c>
      <c r="P464">
        <v>3.0138251925399999E-3</v>
      </c>
    </row>
    <row r="465" spans="1:16" x14ac:dyDescent="0.2">
      <c r="A465" t="s">
        <v>26</v>
      </c>
      <c r="B465" t="s">
        <v>25</v>
      </c>
      <c r="C465">
        <v>2</v>
      </c>
      <c r="D465">
        <v>25</v>
      </c>
      <c r="E465">
        <v>2</v>
      </c>
      <c r="F465">
        <v>25</v>
      </c>
      <c r="G465" t="s">
        <v>23</v>
      </c>
      <c r="H465" t="s">
        <v>22</v>
      </c>
      <c r="I465">
        <v>2.4</v>
      </c>
      <c r="J465">
        <v>2.2599999999999998</v>
      </c>
      <c r="K465">
        <v>1.1803588290840401E-2</v>
      </c>
      <c r="L465">
        <v>1</v>
      </c>
      <c r="M465">
        <v>82</v>
      </c>
      <c r="N465">
        <v>4.66</v>
      </c>
      <c r="O465">
        <v>17.596566523605201</v>
      </c>
      <c r="P465">
        <v>2.5329588606953701E-3</v>
      </c>
    </row>
    <row r="466" spans="1:16" x14ac:dyDescent="0.2">
      <c r="A466" t="s">
        <v>26</v>
      </c>
      <c r="B466" t="s">
        <v>25</v>
      </c>
      <c r="C466">
        <v>2</v>
      </c>
      <c r="D466">
        <v>37</v>
      </c>
      <c r="E466">
        <v>2</v>
      </c>
      <c r="F466">
        <v>37</v>
      </c>
      <c r="G466" t="s">
        <v>18</v>
      </c>
      <c r="H466" t="s">
        <v>19</v>
      </c>
      <c r="I466">
        <v>1.5</v>
      </c>
      <c r="J466">
        <v>1.44</v>
      </c>
      <c r="K466">
        <v>1.09601375962815E-2</v>
      </c>
      <c r="L466">
        <v>1</v>
      </c>
      <c r="M466">
        <v>91.768000000000001</v>
      </c>
      <c r="N466">
        <v>2.94</v>
      </c>
      <c r="O466">
        <v>31.213605442176899</v>
      </c>
      <c r="P466">
        <v>3.7279379579188898E-3</v>
      </c>
    </row>
    <row r="467" spans="1:16" x14ac:dyDescent="0.2">
      <c r="A467" t="s">
        <v>26</v>
      </c>
      <c r="B467" t="s">
        <v>25</v>
      </c>
      <c r="C467">
        <v>2</v>
      </c>
      <c r="D467">
        <v>37</v>
      </c>
      <c r="E467">
        <v>2</v>
      </c>
      <c r="F467">
        <v>37</v>
      </c>
      <c r="G467" t="s">
        <v>18</v>
      </c>
      <c r="H467" t="s">
        <v>22</v>
      </c>
      <c r="I467">
        <v>1.64</v>
      </c>
      <c r="J467">
        <v>1.62</v>
      </c>
      <c r="K467">
        <v>1.10204981265153E-2</v>
      </c>
      <c r="L467">
        <v>1</v>
      </c>
      <c r="M467">
        <v>90</v>
      </c>
      <c r="N467">
        <v>3.26</v>
      </c>
      <c r="O467">
        <v>27.607361963190201</v>
      </c>
      <c r="P467">
        <v>3.38052089770409E-3</v>
      </c>
    </row>
    <row r="468" spans="1:16" x14ac:dyDescent="0.2">
      <c r="A468" t="s">
        <v>26</v>
      </c>
      <c r="B468" t="s">
        <v>25</v>
      </c>
      <c r="C468">
        <v>2</v>
      </c>
      <c r="D468">
        <v>37</v>
      </c>
      <c r="E468">
        <v>2</v>
      </c>
      <c r="F468">
        <v>37</v>
      </c>
      <c r="G468" t="s">
        <v>23</v>
      </c>
      <c r="H468" t="s">
        <v>19</v>
      </c>
      <c r="I468">
        <v>1.8</v>
      </c>
      <c r="J468">
        <v>1.64</v>
      </c>
      <c r="K468">
        <v>1.10914173192697E-2</v>
      </c>
      <c r="L468">
        <v>1</v>
      </c>
      <c r="M468">
        <v>90</v>
      </c>
      <c r="N468">
        <v>3.44</v>
      </c>
      <c r="O468">
        <v>26.162790697674399</v>
      </c>
      <c r="P468">
        <v>3.2242492207179298E-3</v>
      </c>
    </row>
    <row r="469" spans="1:16" x14ac:dyDescent="0.2">
      <c r="A469" t="s">
        <v>26</v>
      </c>
      <c r="B469" t="s">
        <v>25</v>
      </c>
      <c r="C469">
        <v>2</v>
      </c>
      <c r="D469">
        <v>37</v>
      </c>
      <c r="E469">
        <v>2</v>
      </c>
      <c r="F469">
        <v>37</v>
      </c>
      <c r="G469" t="s">
        <v>23</v>
      </c>
      <c r="H469" t="s">
        <v>22</v>
      </c>
      <c r="I469">
        <v>2</v>
      </c>
      <c r="J469">
        <v>1.82</v>
      </c>
      <c r="K469">
        <v>1.11607142857143E-2</v>
      </c>
      <c r="L469">
        <v>1</v>
      </c>
      <c r="M469">
        <v>90</v>
      </c>
      <c r="N469">
        <v>3.82</v>
      </c>
      <c r="O469">
        <v>23.560209424083801</v>
      </c>
      <c r="P469">
        <v>2.92165295437547E-3</v>
      </c>
    </row>
    <row r="470" spans="1:16" x14ac:dyDescent="0.2">
      <c r="A470" t="s">
        <v>26</v>
      </c>
      <c r="B470" t="s">
        <v>25</v>
      </c>
      <c r="C470">
        <v>2</v>
      </c>
      <c r="D470">
        <v>50</v>
      </c>
      <c r="E470">
        <v>2</v>
      </c>
      <c r="F470">
        <v>50</v>
      </c>
      <c r="G470" t="s">
        <v>18</v>
      </c>
      <c r="H470" t="s">
        <v>19</v>
      </c>
      <c r="I470">
        <v>1.54</v>
      </c>
      <c r="J470">
        <v>1.54</v>
      </c>
      <c r="K470">
        <v>1.08827091055129E-2</v>
      </c>
      <c r="L470">
        <v>1</v>
      </c>
      <c r="M470">
        <v>94</v>
      </c>
      <c r="N470">
        <v>3.08</v>
      </c>
      <c r="O470">
        <v>30.519480519480499</v>
      </c>
      <c r="P470">
        <v>3.5333471121795001E-3</v>
      </c>
    </row>
    <row r="471" spans="1:16" x14ac:dyDescent="0.2">
      <c r="A471" t="s">
        <v>26</v>
      </c>
      <c r="B471" t="s">
        <v>25</v>
      </c>
      <c r="C471">
        <v>2</v>
      </c>
      <c r="D471">
        <v>50</v>
      </c>
      <c r="E471">
        <v>2</v>
      </c>
      <c r="F471">
        <v>50</v>
      </c>
      <c r="G471" t="s">
        <v>18</v>
      </c>
      <c r="H471" t="s">
        <v>22</v>
      </c>
      <c r="I471">
        <v>1.64</v>
      </c>
      <c r="J471">
        <v>1.58</v>
      </c>
      <c r="K471">
        <v>1.09027474923681E-2</v>
      </c>
      <c r="L471">
        <v>1</v>
      </c>
      <c r="M471">
        <v>94</v>
      </c>
      <c r="N471">
        <v>3.22</v>
      </c>
      <c r="O471">
        <v>29.192546583850898</v>
      </c>
      <c r="P471">
        <v>3.3859464262012699E-3</v>
      </c>
    </row>
    <row r="472" spans="1:16" x14ac:dyDescent="0.2">
      <c r="A472" t="s">
        <v>26</v>
      </c>
      <c r="B472" t="s">
        <v>25</v>
      </c>
      <c r="C472">
        <v>2</v>
      </c>
      <c r="D472">
        <v>50</v>
      </c>
      <c r="E472">
        <v>2</v>
      </c>
      <c r="F472">
        <v>50</v>
      </c>
      <c r="G472" t="s">
        <v>23</v>
      </c>
      <c r="H472" t="s">
        <v>19</v>
      </c>
      <c r="I472">
        <v>1.78</v>
      </c>
      <c r="J472">
        <v>1.56</v>
      </c>
      <c r="K472">
        <v>1.0927825742134601E-2</v>
      </c>
      <c r="L472">
        <v>1</v>
      </c>
      <c r="M472">
        <v>94</v>
      </c>
      <c r="N472">
        <v>3.34</v>
      </c>
      <c r="O472">
        <v>28.143712574850301</v>
      </c>
      <c r="P472">
        <v>3.2718041144115602E-3</v>
      </c>
    </row>
    <row r="473" spans="1:16" x14ac:dyDescent="0.2">
      <c r="A473" t="s">
        <v>26</v>
      </c>
      <c r="B473" t="s">
        <v>25</v>
      </c>
      <c r="C473">
        <v>2</v>
      </c>
      <c r="D473">
        <v>50</v>
      </c>
      <c r="E473">
        <v>2</v>
      </c>
      <c r="F473">
        <v>50</v>
      </c>
      <c r="G473" t="s">
        <v>23</v>
      </c>
      <c r="H473" t="s">
        <v>22</v>
      </c>
      <c r="I473">
        <v>1.92</v>
      </c>
      <c r="J473">
        <v>1.62</v>
      </c>
      <c r="K473">
        <v>1.0950503723171299E-2</v>
      </c>
      <c r="L473">
        <v>1</v>
      </c>
      <c r="M473">
        <v>94</v>
      </c>
      <c r="N473">
        <v>3.54</v>
      </c>
      <c r="O473">
        <v>26.553672316384201</v>
      </c>
      <c r="P473">
        <v>3.0933626336642002E-3</v>
      </c>
    </row>
    <row r="474" spans="1:16" x14ac:dyDescent="0.2">
      <c r="A474" t="s">
        <v>26</v>
      </c>
      <c r="B474" t="s">
        <v>25</v>
      </c>
      <c r="C474">
        <v>5</v>
      </c>
      <c r="D474">
        <v>12</v>
      </c>
      <c r="E474">
        <v>5</v>
      </c>
      <c r="F474">
        <v>12</v>
      </c>
      <c r="G474" t="s">
        <v>18</v>
      </c>
      <c r="H474" t="s">
        <v>19</v>
      </c>
      <c r="I474">
        <v>0.94</v>
      </c>
      <c r="J474">
        <v>0.96</v>
      </c>
      <c r="K474">
        <v>1.2523867631304499E-2</v>
      </c>
      <c r="L474">
        <v>1</v>
      </c>
      <c r="M474">
        <v>64.456000000000003</v>
      </c>
      <c r="N474">
        <v>1.9</v>
      </c>
      <c r="O474">
        <v>33.924210526315797</v>
      </c>
      <c r="P474">
        <v>6.5915092796339199E-3</v>
      </c>
    </row>
    <row r="475" spans="1:16" x14ac:dyDescent="0.2">
      <c r="A475" t="s">
        <v>26</v>
      </c>
      <c r="B475" t="s">
        <v>25</v>
      </c>
      <c r="C475">
        <v>5</v>
      </c>
      <c r="D475">
        <v>12</v>
      </c>
      <c r="E475">
        <v>5</v>
      </c>
      <c r="F475">
        <v>12</v>
      </c>
      <c r="G475" t="s">
        <v>18</v>
      </c>
      <c r="H475" t="s">
        <v>22</v>
      </c>
      <c r="I475">
        <v>1.3</v>
      </c>
      <c r="J475">
        <v>1.3</v>
      </c>
      <c r="K475">
        <v>1.4310246136233501E-2</v>
      </c>
      <c r="L475">
        <v>1</v>
      </c>
      <c r="M475">
        <v>48</v>
      </c>
      <c r="N475">
        <v>2.6</v>
      </c>
      <c r="O475">
        <v>18.461538461538499</v>
      </c>
      <c r="P475">
        <v>5.5039408216282903E-3</v>
      </c>
    </row>
    <row r="476" spans="1:16" x14ac:dyDescent="0.2">
      <c r="A476" t="s">
        <v>26</v>
      </c>
      <c r="B476" t="s">
        <v>25</v>
      </c>
      <c r="C476">
        <v>5</v>
      </c>
      <c r="D476">
        <v>12</v>
      </c>
      <c r="E476">
        <v>5</v>
      </c>
      <c r="F476">
        <v>12</v>
      </c>
      <c r="G476" t="s">
        <v>23</v>
      </c>
      <c r="H476" t="s">
        <v>19</v>
      </c>
      <c r="I476">
        <v>2.4</v>
      </c>
      <c r="J476">
        <v>2.4</v>
      </c>
      <c r="K476">
        <v>8.7549038095756492E-3</v>
      </c>
      <c r="L476">
        <v>0</v>
      </c>
      <c r="M476">
        <v>0</v>
      </c>
      <c r="N476">
        <v>4.8</v>
      </c>
      <c r="O476">
        <v>0</v>
      </c>
      <c r="P476">
        <v>1.82393829366159E-3</v>
      </c>
    </row>
    <row r="477" spans="1:16" x14ac:dyDescent="0.2">
      <c r="A477" t="s">
        <v>26</v>
      </c>
      <c r="B477" t="s">
        <v>25</v>
      </c>
      <c r="C477">
        <v>5</v>
      </c>
      <c r="D477">
        <v>12</v>
      </c>
      <c r="E477">
        <v>5</v>
      </c>
      <c r="F477">
        <v>12</v>
      </c>
      <c r="G477" t="s">
        <v>23</v>
      </c>
      <c r="H477" t="s">
        <v>22</v>
      </c>
      <c r="I477">
        <v>2.4</v>
      </c>
      <c r="J477">
        <v>2.4</v>
      </c>
      <c r="K477">
        <v>3.9438397223536797E-3</v>
      </c>
      <c r="L477">
        <v>0</v>
      </c>
      <c r="M477">
        <v>0</v>
      </c>
      <c r="N477">
        <v>4.8</v>
      </c>
      <c r="O477">
        <v>0</v>
      </c>
      <c r="P477">
        <v>8.2163327549035102E-4</v>
      </c>
    </row>
    <row r="478" spans="1:16" x14ac:dyDescent="0.2">
      <c r="A478" t="s">
        <v>26</v>
      </c>
      <c r="B478" t="s">
        <v>25</v>
      </c>
      <c r="C478">
        <v>5</v>
      </c>
      <c r="D478">
        <v>25</v>
      </c>
      <c r="E478">
        <v>5</v>
      </c>
      <c r="F478">
        <v>25</v>
      </c>
      <c r="G478" t="s">
        <v>18</v>
      </c>
      <c r="H478" t="s">
        <v>19</v>
      </c>
      <c r="I478">
        <v>1.26</v>
      </c>
      <c r="J478">
        <v>1.2</v>
      </c>
      <c r="K478">
        <v>1.16596288831614E-2</v>
      </c>
      <c r="L478">
        <v>1</v>
      </c>
      <c r="M478">
        <v>78</v>
      </c>
      <c r="N478">
        <v>2.46</v>
      </c>
      <c r="O478">
        <v>31.707317073170699</v>
      </c>
      <c r="P478">
        <v>4.7396865378704902E-3</v>
      </c>
    </row>
    <row r="479" spans="1:16" x14ac:dyDescent="0.2">
      <c r="A479" t="s">
        <v>26</v>
      </c>
      <c r="B479" t="s">
        <v>25</v>
      </c>
      <c r="C479">
        <v>5</v>
      </c>
      <c r="D479">
        <v>25</v>
      </c>
      <c r="E479">
        <v>5</v>
      </c>
      <c r="F479">
        <v>25</v>
      </c>
      <c r="G479" t="s">
        <v>18</v>
      </c>
      <c r="H479" t="s">
        <v>22</v>
      </c>
      <c r="I479">
        <v>1.5</v>
      </c>
      <c r="J479">
        <v>1.48</v>
      </c>
      <c r="K479">
        <v>1.20510966497951E-2</v>
      </c>
      <c r="L479">
        <v>1</v>
      </c>
      <c r="M479">
        <v>74</v>
      </c>
      <c r="N479">
        <v>2.98</v>
      </c>
      <c r="O479">
        <v>24.832214765100701</v>
      </c>
      <c r="P479">
        <v>4.0439921643607799E-3</v>
      </c>
    </row>
    <row r="480" spans="1:16" x14ac:dyDescent="0.2">
      <c r="A480" t="s">
        <v>26</v>
      </c>
      <c r="B480" t="s">
        <v>25</v>
      </c>
      <c r="C480">
        <v>5</v>
      </c>
      <c r="D480">
        <v>25</v>
      </c>
      <c r="E480">
        <v>5</v>
      </c>
      <c r="F480">
        <v>25</v>
      </c>
      <c r="G480" t="s">
        <v>23</v>
      </c>
      <c r="H480" t="s">
        <v>19</v>
      </c>
      <c r="I480">
        <v>2.72</v>
      </c>
      <c r="J480">
        <v>2.48</v>
      </c>
      <c r="K480">
        <v>1.5703428814170001E-2</v>
      </c>
      <c r="L480">
        <v>0.99</v>
      </c>
      <c r="M480">
        <v>49.164000000000001</v>
      </c>
      <c r="N480">
        <v>5.2</v>
      </c>
      <c r="O480">
        <v>9.4546153846153906</v>
      </c>
      <c r="P480">
        <v>3.01989015657115E-3</v>
      </c>
    </row>
    <row r="481" spans="1:16" x14ac:dyDescent="0.2">
      <c r="A481" t="s">
        <v>26</v>
      </c>
      <c r="B481" t="s">
        <v>25</v>
      </c>
      <c r="C481">
        <v>5</v>
      </c>
      <c r="D481">
        <v>25</v>
      </c>
      <c r="E481">
        <v>5</v>
      </c>
      <c r="F481">
        <v>25</v>
      </c>
      <c r="G481" t="s">
        <v>23</v>
      </c>
      <c r="H481" t="s">
        <v>22</v>
      </c>
      <c r="I481">
        <v>5</v>
      </c>
      <c r="J481">
        <v>5</v>
      </c>
      <c r="K481">
        <v>5.0190724754065399E-3</v>
      </c>
      <c r="L481">
        <v>0</v>
      </c>
      <c r="M481">
        <v>0</v>
      </c>
      <c r="N481">
        <v>10</v>
      </c>
      <c r="O481">
        <v>0</v>
      </c>
      <c r="P481">
        <v>5.0190724754065399E-4</v>
      </c>
    </row>
    <row r="482" spans="1:16" x14ac:dyDescent="0.2">
      <c r="A482" t="s">
        <v>26</v>
      </c>
      <c r="B482" t="s">
        <v>25</v>
      </c>
      <c r="C482">
        <v>5</v>
      </c>
      <c r="D482">
        <v>37</v>
      </c>
      <c r="E482">
        <v>5</v>
      </c>
      <c r="F482">
        <v>37</v>
      </c>
      <c r="G482" t="s">
        <v>18</v>
      </c>
      <c r="H482" t="s">
        <v>19</v>
      </c>
      <c r="I482">
        <v>1.4</v>
      </c>
      <c r="J482">
        <v>1.32</v>
      </c>
      <c r="K482">
        <v>1.12619271048749E-2</v>
      </c>
      <c r="L482">
        <v>1</v>
      </c>
      <c r="M482">
        <v>87.828000000000003</v>
      </c>
      <c r="N482">
        <v>2.72</v>
      </c>
      <c r="O482">
        <v>32.289705882352898</v>
      </c>
      <c r="P482">
        <v>4.1404143767922296E-3</v>
      </c>
    </row>
    <row r="483" spans="1:16" x14ac:dyDescent="0.2">
      <c r="A483" t="s">
        <v>26</v>
      </c>
      <c r="B483" t="s">
        <v>25</v>
      </c>
      <c r="C483">
        <v>5</v>
      </c>
      <c r="D483">
        <v>37</v>
      </c>
      <c r="E483">
        <v>5</v>
      </c>
      <c r="F483">
        <v>37</v>
      </c>
      <c r="G483" t="s">
        <v>18</v>
      </c>
      <c r="H483" t="s">
        <v>22</v>
      </c>
      <c r="I483">
        <v>1.48</v>
      </c>
      <c r="J483">
        <v>1.44</v>
      </c>
      <c r="K483">
        <v>1.13869278068777E-2</v>
      </c>
      <c r="L483">
        <v>1</v>
      </c>
      <c r="M483">
        <v>80</v>
      </c>
      <c r="N483">
        <v>2.92</v>
      </c>
      <c r="O483">
        <v>27.397260273972599</v>
      </c>
      <c r="P483">
        <v>3.8996328105745598E-3</v>
      </c>
    </row>
    <row r="484" spans="1:16" x14ac:dyDescent="0.2">
      <c r="A484" t="s">
        <v>26</v>
      </c>
      <c r="B484" t="s">
        <v>25</v>
      </c>
      <c r="C484">
        <v>5</v>
      </c>
      <c r="D484">
        <v>37</v>
      </c>
      <c r="E484">
        <v>5</v>
      </c>
      <c r="F484">
        <v>37</v>
      </c>
      <c r="G484" t="s">
        <v>23</v>
      </c>
      <c r="H484" t="s">
        <v>19</v>
      </c>
      <c r="I484">
        <v>2</v>
      </c>
      <c r="J484">
        <v>1.7</v>
      </c>
      <c r="K484">
        <v>1.1893823197225499E-2</v>
      </c>
      <c r="L484">
        <v>1</v>
      </c>
      <c r="M484">
        <v>77.396000000000001</v>
      </c>
      <c r="N484">
        <v>3.7</v>
      </c>
      <c r="O484">
        <v>20.917837837837801</v>
      </c>
      <c r="P484">
        <v>3.2145468100609302E-3</v>
      </c>
    </row>
    <row r="485" spans="1:16" x14ac:dyDescent="0.2">
      <c r="A485" t="s">
        <v>26</v>
      </c>
      <c r="B485" t="s">
        <v>25</v>
      </c>
      <c r="C485">
        <v>5</v>
      </c>
      <c r="D485">
        <v>37</v>
      </c>
      <c r="E485">
        <v>5</v>
      </c>
      <c r="F485">
        <v>37</v>
      </c>
      <c r="G485" t="s">
        <v>23</v>
      </c>
      <c r="H485" t="s">
        <v>22</v>
      </c>
      <c r="I485">
        <v>2.96</v>
      </c>
      <c r="J485">
        <v>2.64</v>
      </c>
      <c r="K485">
        <v>1.30446125750065E-2</v>
      </c>
      <c r="L485">
        <v>1</v>
      </c>
      <c r="M485">
        <v>68</v>
      </c>
      <c r="N485">
        <v>5.6</v>
      </c>
      <c r="O485">
        <v>12.1428571428571</v>
      </c>
      <c r="P485">
        <v>2.3293951026797399E-3</v>
      </c>
    </row>
    <row r="486" spans="1:16" x14ac:dyDescent="0.2">
      <c r="A486" t="s">
        <v>26</v>
      </c>
      <c r="B486" t="s">
        <v>25</v>
      </c>
      <c r="C486">
        <v>5</v>
      </c>
      <c r="D486">
        <v>50</v>
      </c>
      <c r="E486">
        <v>5</v>
      </c>
      <c r="F486">
        <v>50</v>
      </c>
      <c r="G486" t="s">
        <v>18</v>
      </c>
      <c r="H486" t="s">
        <v>19</v>
      </c>
      <c r="I486">
        <v>1.44</v>
      </c>
      <c r="J486">
        <v>1.38</v>
      </c>
      <c r="K486">
        <v>1.1084241763546601E-2</v>
      </c>
      <c r="L486">
        <v>1</v>
      </c>
      <c r="M486">
        <v>88</v>
      </c>
      <c r="N486">
        <v>2.82</v>
      </c>
      <c r="O486">
        <v>31.205673758865199</v>
      </c>
      <c r="P486">
        <v>3.9305821856548103E-3</v>
      </c>
    </row>
    <row r="487" spans="1:16" x14ac:dyDescent="0.2">
      <c r="A487" t="s">
        <v>26</v>
      </c>
      <c r="B487" t="s">
        <v>25</v>
      </c>
      <c r="C487">
        <v>5</v>
      </c>
      <c r="D487">
        <v>50</v>
      </c>
      <c r="E487">
        <v>5</v>
      </c>
      <c r="F487">
        <v>50</v>
      </c>
      <c r="G487" t="s">
        <v>18</v>
      </c>
      <c r="H487" t="s">
        <v>22</v>
      </c>
      <c r="I487">
        <v>1.58</v>
      </c>
      <c r="J487">
        <v>1.48</v>
      </c>
      <c r="K487">
        <v>1.11557340473003E-2</v>
      </c>
      <c r="L487">
        <v>1</v>
      </c>
      <c r="M487">
        <v>88</v>
      </c>
      <c r="N487">
        <v>3.06</v>
      </c>
      <c r="O487">
        <v>28.758169934640499</v>
      </c>
      <c r="P487">
        <v>3.6456647213399698E-3</v>
      </c>
    </row>
    <row r="488" spans="1:16" x14ac:dyDescent="0.2">
      <c r="A488" t="s">
        <v>26</v>
      </c>
      <c r="B488" t="s">
        <v>25</v>
      </c>
      <c r="C488">
        <v>5</v>
      </c>
      <c r="D488">
        <v>50</v>
      </c>
      <c r="E488">
        <v>5</v>
      </c>
      <c r="F488">
        <v>50</v>
      </c>
      <c r="G488" t="s">
        <v>23</v>
      </c>
      <c r="H488" t="s">
        <v>19</v>
      </c>
      <c r="I488">
        <v>1.88</v>
      </c>
      <c r="J488">
        <v>1.58</v>
      </c>
      <c r="K488">
        <v>1.1267087569670001E-2</v>
      </c>
      <c r="L488">
        <v>1</v>
      </c>
      <c r="M488">
        <v>87.884</v>
      </c>
      <c r="N488">
        <v>3.46</v>
      </c>
      <c r="O488">
        <v>25.4</v>
      </c>
      <c r="P488">
        <v>3.2563836906560799E-3</v>
      </c>
    </row>
    <row r="489" spans="1:16" x14ac:dyDescent="0.2">
      <c r="A489" t="s">
        <v>26</v>
      </c>
      <c r="B489" t="s">
        <v>25</v>
      </c>
      <c r="C489">
        <v>5</v>
      </c>
      <c r="D489">
        <v>50</v>
      </c>
      <c r="E489">
        <v>5</v>
      </c>
      <c r="F489">
        <v>50</v>
      </c>
      <c r="G489" t="s">
        <v>23</v>
      </c>
      <c r="H489" t="s">
        <v>22</v>
      </c>
      <c r="I489">
        <v>2.08</v>
      </c>
      <c r="J489">
        <v>1.72</v>
      </c>
      <c r="K489">
        <v>1.14678899082569E-2</v>
      </c>
      <c r="L489">
        <v>1</v>
      </c>
      <c r="M489">
        <v>78</v>
      </c>
      <c r="N489">
        <v>3.8</v>
      </c>
      <c r="O489">
        <v>20.526315789473699</v>
      </c>
      <c r="P489">
        <v>3.0178657653307599E-3</v>
      </c>
    </row>
  </sheetData>
  <autoFilter ref="A1:P489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5"/>
  <sheetViews>
    <sheetView topLeftCell="I1" zoomScale="124" zoomScaleNormal="124" workbookViewId="0">
      <selection activeCell="N2" sqref="N2"/>
    </sheetView>
  </sheetViews>
  <sheetFormatPr baseColWidth="10" defaultColWidth="11.5703125" defaultRowHeight="12.75" x14ac:dyDescent="0.2"/>
  <cols>
    <col min="2" max="2" width="12.85546875" customWidth="1"/>
    <col min="12" max="13" width="12.7109375" bestFit="1" customWidth="1"/>
    <col min="14" max="14" width="15.85546875" bestFit="1" customWidth="1"/>
    <col min="15" max="15" width="13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27</v>
      </c>
      <c r="K1" s="1" t="s">
        <v>13</v>
      </c>
      <c r="L1" s="1" t="s">
        <v>29</v>
      </c>
      <c r="M1" s="1" t="s">
        <v>30</v>
      </c>
      <c r="N1" s="1" t="s">
        <v>32</v>
      </c>
      <c r="O1" s="1" t="s">
        <v>31</v>
      </c>
    </row>
    <row r="2" spans="1:15" x14ac:dyDescent="0.2">
      <c r="A2" t="s">
        <v>16</v>
      </c>
      <c r="B2" t="s">
        <v>24</v>
      </c>
      <c r="C2">
        <v>1</v>
      </c>
      <c r="D2">
        <v>100</v>
      </c>
      <c r="E2">
        <v>0</v>
      </c>
      <c r="F2">
        <v>0</v>
      </c>
      <c r="G2" t="s">
        <v>18</v>
      </c>
      <c r="H2" t="s">
        <v>19</v>
      </c>
      <c r="I2">
        <v>90.087999999999994</v>
      </c>
      <c r="J2" s="3">
        <f>RANK(I2,$I$2:$I$245)</f>
        <v>7</v>
      </c>
      <c r="K2">
        <v>4.58</v>
      </c>
      <c r="L2">
        <v>19.669868995633198</v>
      </c>
      <c r="M2">
        <f>RANK(L2,$L$2:$L$245)</f>
        <v>5</v>
      </c>
      <c r="N2" s="2">
        <f>I2*EXP(-0.1*K2)</f>
        <v>56.984937036568951</v>
      </c>
      <c r="O2" s="2">
        <f>RANK(N2,$N$2:$N$245)</f>
        <v>1</v>
      </c>
    </row>
    <row r="3" spans="1:15" x14ac:dyDescent="0.2">
      <c r="A3" t="s">
        <v>16</v>
      </c>
      <c r="B3" t="s">
        <v>24</v>
      </c>
      <c r="C3">
        <v>1</v>
      </c>
      <c r="D3">
        <v>75</v>
      </c>
      <c r="E3">
        <v>0</v>
      </c>
      <c r="F3">
        <v>0</v>
      </c>
      <c r="G3" t="s">
        <v>18</v>
      </c>
      <c r="H3" t="s">
        <v>19</v>
      </c>
      <c r="I3">
        <v>88.608000000000004</v>
      </c>
      <c r="J3" s="3">
        <f>RANK(I3,$I$2:$I$245)</f>
        <v>16</v>
      </c>
      <c r="K3">
        <v>4.5199999999999996</v>
      </c>
      <c r="L3">
        <v>19.603539823008902</v>
      </c>
      <c r="M3">
        <f>RANK(L3,$L$2:$L$245)</f>
        <v>6</v>
      </c>
      <c r="N3" s="2">
        <f>I3*EXP(-0.1*K3)</f>
        <v>56.38607027100052</v>
      </c>
      <c r="O3" s="2">
        <f>RANK(N3,$N$2:$N$245)</f>
        <v>2</v>
      </c>
    </row>
    <row r="4" spans="1:15" x14ac:dyDescent="0.2">
      <c r="A4" t="s">
        <v>16</v>
      </c>
      <c r="B4" t="s">
        <v>24</v>
      </c>
      <c r="C4">
        <v>1</v>
      </c>
      <c r="D4">
        <v>50</v>
      </c>
      <c r="E4">
        <v>0</v>
      </c>
      <c r="F4">
        <v>0</v>
      </c>
      <c r="G4" t="s">
        <v>18</v>
      </c>
      <c r="H4" t="s">
        <v>19</v>
      </c>
      <c r="I4">
        <v>86.611999999999995</v>
      </c>
      <c r="J4" s="2">
        <f>RANK(I4,$I$2:$I$245)</f>
        <v>26</v>
      </c>
      <c r="K4">
        <v>4.3600000000000003</v>
      </c>
      <c r="L4">
        <v>19.8651376146789</v>
      </c>
      <c r="M4">
        <f>RANK(L4,$L$2:$L$245)</f>
        <v>3</v>
      </c>
      <c r="N4" s="2">
        <f>I4*EXP(-0.1*K4)</f>
        <v>56.004854478720297</v>
      </c>
      <c r="O4" s="2">
        <f>RANK(N4,$N$2:$N$245)</f>
        <v>3</v>
      </c>
    </row>
    <row r="5" spans="1:15" x14ac:dyDescent="0.2">
      <c r="A5" t="s">
        <v>16</v>
      </c>
      <c r="B5" t="s">
        <v>25</v>
      </c>
      <c r="C5">
        <v>1</v>
      </c>
      <c r="D5">
        <v>100</v>
      </c>
      <c r="E5">
        <v>0</v>
      </c>
      <c r="F5">
        <v>0</v>
      </c>
      <c r="G5" t="s">
        <v>18</v>
      </c>
      <c r="H5" t="s">
        <v>19</v>
      </c>
      <c r="I5">
        <v>93.995999999999995</v>
      </c>
      <c r="J5" s="3">
        <f>RANK(I5,$I$2:$I$245)</f>
        <v>2</v>
      </c>
      <c r="K5">
        <v>5.3</v>
      </c>
      <c r="L5">
        <v>17.735094339622599</v>
      </c>
      <c r="M5">
        <f>RANK(L5,$L$2:$L$245)</f>
        <v>16</v>
      </c>
      <c r="N5" s="2">
        <f>I5*EXP(-0.1*K5)</f>
        <v>55.326512729886673</v>
      </c>
      <c r="O5" s="2">
        <f>RANK(N5,$N$2:$N$245)</f>
        <v>4</v>
      </c>
    </row>
    <row r="6" spans="1:15" x14ac:dyDescent="0.2">
      <c r="A6" t="s">
        <v>16</v>
      </c>
      <c r="B6" t="s">
        <v>24</v>
      </c>
      <c r="C6">
        <v>1</v>
      </c>
      <c r="D6">
        <v>100</v>
      </c>
      <c r="E6">
        <v>0</v>
      </c>
      <c r="F6">
        <v>0</v>
      </c>
      <c r="G6" t="s">
        <v>18</v>
      </c>
      <c r="H6" t="s">
        <v>22</v>
      </c>
      <c r="I6">
        <v>90</v>
      </c>
      <c r="J6" s="3">
        <f>RANK(I6,$I$2:$I$245)</f>
        <v>8</v>
      </c>
      <c r="K6">
        <v>4.9000000000000004</v>
      </c>
      <c r="L6">
        <v>18.367346938775501</v>
      </c>
      <c r="M6">
        <f>RANK(L6,$L$2:$L$245)</f>
        <v>12</v>
      </c>
      <c r="N6" s="2">
        <f>I6*EXP(-0.1*K6)</f>
        <v>55.136375476597443</v>
      </c>
      <c r="O6" s="2">
        <f>RANK(N6,$N$2:$N$245)</f>
        <v>5</v>
      </c>
    </row>
    <row r="7" spans="1:15" x14ac:dyDescent="0.2">
      <c r="A7" t="s">
        <v>16</v>
      </c>
      <c r="B7" t="s">
        <v>24</v>
      </c>
      <c r="C7">
        <v>2</v>
      </c>
      <c r="D7">
        <v>100</v>
      </c>
      <c r="E7">
        <v>0</v>
      </c>
      <c r="F7">
        <v>0</v>
      </c>
      <c r="G7" t="s">
        <v>18</v>
      </c>
      <c r="H7" t="s">
        <v>19</v>
      </c>
      <c r="I7">
        <v>85.847999999999999</v>
      </c>
      <c r="J7" s="2">
        <f>RANK(I7,$I$2:$I$245)</f>
        <v>32</v>
      </c>
      <c r="K7">
        <v>4.4400000000000004</v>
      </c>
      <c r="L7">
        <v>19.335135135135101</v>
      </c>
      <c r="M7">
        <f>RANK(L7,$L$2:$L$245)</f>
        <v>8</v>
      </c>
      <c r="N7" s="2">
        <f>I7*EXP(-0.1*K7)</f>
        <v>55.06852344718375</v>
      </c>
      <c r="O7" s="2">
        <f>RANK(N7,$N$2:$N$245)</f>
        <v>6</v>
      </c>
    </row>
    <row r="8" spans="1:15" x14ac:dyDescent="0.2">
      <c r="A8" t="s">
        <v>16</v>
      </c>
      <c r="B8" t="s">
        <v>25</v>
      </c>
      <c r="C8">
        <v>1</v>
      </c>
      <c r="D8">
        <v>75</v>
      </c>
      <c r="E8">
        <v>0</v>
      </c>
      <c r="F8">
        <v>0</v>
      </c>
      <c r="G8" t="s">
        <v>18</v>
      </c>
      <c r="H8" t="s">
        <v>19</v>
      </c>
      <c r="I8">
        <v>92</v>
      </c>
      <c r="J8" s="3">
        <f>RANK(I8,$I$2:$I$245)</f>
        <v>4</v>
      </c>
      <c r="K8">
        <v>5.22</v>
      </c>
      <c r="L8">
        <v>17.624521072796899</v>
      </c>
      <c r="M8">
        <f>RANK(L8,$L$2:$L$245)</f>
        <v>19</v>
      </c>
      <c r="N8" s="2">
        <f>I8*EXP(-0.1*K8)</f>
        <v>54.586607951320779</v>
      </c>
      <c r="O8" s="2">
        <f>RANK(N8,$N$2:$N$245)</f>
        <v>7</v>
      </c>
    </row>
    <row r="9" spans="1:15" x14ac:dyDescent="0.2">
      <c r="A9" t="s">
        <v>16</v>
      </c>
      <c r="B9" t="s">
        <v>24</v>
      </c>
      <c r="C9">
        <v>2</v>
      </c>
      <c r="D9">
        <v>75</v>
      </c>
      <c r="E9">
        <v>0</v>
      </c>
      <c r="F9">
        <v>0</v>
      </c>
      <c r="G9" t="s">
        <v>18</v>
      </c>
      <c r="H9" t="s">
        <v>19</v>
      </c>
      <c r="I9">
        <v>83.552000000000007</v>
      </c>
      <c r="J9" s="2">
        <f>RANK(I9,$I$2:$I$245)</f>
        <v>41</v>
      </c>
      <c r="K9">
        <v>4.32</v>
      </c>
      <c r="L9">
        <v>19.340740740740699</v>
      </c>
      <c r="M9">
        <f>RANK(L9,$L$2:$L$245)</f>
        <v>7</v>
      </c>
      <c r="N9" s="2">
        <f>I9*EXP(-0.1*K9)</f>
        <v>54.242741840797436</v>
      </c>
      <c r="O9" s="2">
        <f>RANK(N9,$N$2:$N$245)</f>
        <v>8</v>
      </c>
    </row>
    <row r="10" spans="1:15" x14ac:dyDescent="0.2">
      <c r="A10" t="s">
        <v>16</v>
      </c>
      <c r="B10" t="s">
        <v>24</v>
      </c>
      <c r="C10">
        <v>1</v>
      </c>
      <c r="D10">
        <v>25</v>
      </c>
      <c r="E10">
        <v>0</v>
      </c>
      <c r="F10">
        <v>0</v>
      </c>
      <c r="G10" t="s">
        <v>18</v>
      </c>
      <c r="H10" t="s">
        <v>19</v>
      </c>
      <c r="I10">
        <v>80.468000000000004</v>
      </c>
      <c r="J10" s="2">
        <f>RANK(I10,$I$2:$I$245)</f>
        <v>53</v>
      </c>
      <c r="K10">
        <v>3.98</v>
      </c>
      <c r="L10">
        <v>20.218090452261301</v>
      </c>
      <c r="M10">
        <f>RANK(L10,$L$2:$L$245)</f>
        <v>2</v>
      </c>
      <c r="N10" s="2">
        <f>I10*EXP(-0.1*K10)</f>
        <v>54.047300041906603</v>
      </c>
      <c r="O10" s="2">
        <f>RANK(N10,$N$2:$N$245)</f>
        <v>9</v>
      </c>
    </row>
    <row r="11" spans="1:15" x14ac:dyDescent="0.2">
      <c r="A11" t="s">
        <v>16</v>
      </c>
      <c r="B11" t="s">
        <v>24</v>
      </c>
      <c r="C11">
        <v>1</v>
      </c>
      <c r="D11">
        <v>75</v>
      </c>
      <c r="E11">
        <v>0</v>
      </c>
      <c r="F11">
        <v>0</v>
      </c>
      <c r="G11" t="s">
        <v>18</v>
      </c>
      <c r="H11" t="s">
        <v>22</v>
      </c>
      <c r="I11">
        <v>88</v>
      </c>
      <c r="J11" s="3">
        <f>RANK(I11,$I$2:$I$245)</f>
        <v>18</v>
      </c>
      <c r="K11">
        <v>4.9000000000000004</v>
      </c>
      <c r="L11">
        <v>17.959183673469401</v>
      </c>
      <c r="M11">
        <f>RANK(L11,$L$2:$L$245)</f>
        <v>14</v>
      </c>
      <c r="N11" s="2">
        <f>I11*EXP(-0.1*K11)</f>
        <v>53.911122688228609</v>
      </c>
      <c r="O11" s="2">
        <f>RANK(N11,$N$2:$N$245)</f>
        <v>10</v>
      </c>
    </row>
    <row r="12" spans="1:15" x14ac:dyDescent="0.2">
      <c r="A12" t="s">
        <v>16</v>
      </c>
      <c r="B12" t="s">
        <v>25</v>
      </c>
      <c r="C12">
        <v>1</v>
      </c>
      <c r="D12">
        <v>50</v>
      </c>
      <c r="E12">
        <v>0</v>
      </c>
      <c r="F12">
        <v>0</v>
      </c>
      <c r="G12" t="s">
        <v>18</v>
      </c>
      <c r="H12" t="s">
        <v>19</v>
      </c>
      <c r="I12">
        <v>88.951999999999998</v>
      </c>
      <c r="J12" s="3">
        <f>RANK(I12,$I$2:$I$245)</f>
        <v>15</v>
      </c>
      <c r="K12">
        <v>5.0199999999999996</v>
      </c>
      <c r="L12">
        <v>17.719521912350601</v>
      </c>
      <c r="M12">
        <f>RANK(L12,$L$2:$L$245)</f>
        <v>17</v>
      </c>
      <c r="N12" s="2">
        <f>I12*EXP(-0.1*K12)</f>
        <v>53.844318844602938</v>
      </c>
      <c r="O12" s="2">
        <f>RANK(N12,$N$2:$N$245)</f>
        <v>11</v>
      </c>
    </row>
    <row r="13" spans="1:15" x14ac:dyDescent="0.2">
      <c r="A13" t="s">
        <v>16</v>
      </c>
      <c r="B13" t="s">
        <v>25</v>
      </c>
      <c r="C13">
        <v>2</v>
      </c>
      <c r="D13">
        <v>100</v>
      </c>
      <c r="E13">
        <v>0</v>
      </c>
      <c r="F13">
        <v>0</v>
      </c>
      <c r="G13" t="s">
        <v>18</v>
      </c>
      <c r="H13" t="s">
        <v>19</v>
      </c>
      <c r="I13">
        <v>90</v>
      </c>
      <c r="J13" s="3">
        <f>RANK(I13,$I$2:$I$245)</f>
        <v>8</v>
      </c>
      <c r="K13">
        <v>5.14</v>
      </c>
      <c r="L13">
        <v>17.5097276264591</v>
      </c>
      <c r="M13">
        <f>RANK(L13,$L$2:$L$245)</f>
        <v>21</v>
      </c>
      <c r="N13" s="2">
        <f>I13*EXP(-0.1*K13)</f>
        <v>53.828855465648516</v>
      </c>
      <c r="O13" s="2">
        <f>RANK(N13,$N$2:$N$245)</f>
        <v>12</v>
      </c>
    </row>
    <row r="14" spans="1:15" x14ac:dyDescent="0.2">
      <c r="A14" t="s">
        <v>16</v>
      </c>
      <c r="B14" t="s">
        <v>24</v>
      </c>
      <c r="C14">
        <v>2</v>
      </c>
      <c r="D14">
        <v>50</v>
      </c>
      <c r="E14">
        <v>0</v>
      </c>
      <c r="F14">
        <v>0</v>
      </c>
      <c r="G14" t="s">
        <v>18</v>
      </c>
      <c r="H14" t="s">
        <v>19</v>
      </c>
      <c r="I14">
        <v>80.063999999999993</v>
      </c>
      <c r="J14" s="2">
        <f>RANK(I14,$I$2:$I$245)</f>
        <v>54</v>
      </c>
      <c r="K14">
        <v>4.04</v>
      </c>
      <c r="L14">
        <v>19.8178217821782</v>
      </c>
      <c r="M14">
        <f>RANK(L14,$L$2:$L$245)</f>
        <v>4</v>
      </c>
      <c r="N14" s="2">
        <f>I14*EXP(-0.1*K14)</f>
        <v>53.454258925275518</v>
      </c>
      <c r="O14" s="2">
        <f>RANK(N14,$N$2:$N$245)</f>
        <v>13</v>
      </c>
    </row>
    <row r="15" spans="1:15" x14ac:dyDescent="0.2">
      <c r="A15" t="s">
        <v>16</v>
      </c>
      <c r="B15" t="s">
        <v>25</v>
      </c>
      <c r="C15">
        <v>1</v>
      </c>
      <c r="D15">
        <v>100</v>
      </c>
      <c r="E15">
        <v>0</v>
      </c>
      <c r="F15">
        <v>0</v>
      </c>
      <c r="G15" t="s">
        <v>18</v>
      </c>
      <c r="H15" t="s">
        <v>22</v>
      </c>
      <c r="I15">
        <v>94</v>
      </c>
      <c r="J15" s="3">
        <f>RANK(I15,$I$2:$I$245)</f>
        <v>1</v>
      </c>
      <c r="K15">
        <v>5.8</v>
      </c>
      <c r="L15">
        <v>16.2068965517241</v>
      </c>
      <c r="M15">
        <f>RANK(L15,$L$2:$L$245)</f>
        <v>31</v>
      </c>
      <c r="N15" s="2">
        <f>I15*EXP(-0.1*K15)</f>
        <v>52.630446457147791</v>
      </c>
      <c r="O15" s="2">
        <f>RANK(N15,$N$2:$N$245)</f>
        <v>14</v>
      </c>
    </row>
    <row r="16" spans="1:15" x14ac:dyDescent="0.2">
      <c r="A16" t="s">
        <v>16</v>
      </c>
      <c r="B16" t="s">
        <v>25</v>
      </c>
      <c r="C16">
        <v>2</v>
      </c>
      <c r="D16">
        <v>75</v>
      </c>
      <c r="E16">
        <v>0</v>
      </c>
      <c r="F16">
        <v>0</v>
      </c>
      <c r="G16" t="s">
        <v>18</v>
      </c>
      <c r="H16" t="s">
        <v>19</v>
      </c>
      <c r="I16">
        <v>86.048000000000002</v>
      </c>
      <c r="J16" s="2">
        <f>RANK(I16,$I$2:$I$245)</f>
        <v>28</v>
      </c>
      <c r="K16">
        <v>4.9400000000000004</v>
      </c>
      <c r="L16">
        <v>17.418623481781399</v>
      </c>
      <c r="M16">
        <f>RANK(L16,$L$2:$L$245)</f>
        <v>23</v>
      </c>
      <c r="N16" s="2">
        <f>I16*EXP(-0.1*K16)</f>
        <v>52.504836023386815</v>
      </c>
      <c r="O16" s="2">
        <f>RANK(N16,$N$2:$N$245)</f>
        <v>15</v>
      </c>
    </row>
    <row r="17" spans="1:15" x14ac:dyDescent="0.2">
      <c r="A17" t="s">
        <v>16</v>
      </c>
      <c r="B17" t="s">
        <v>24</v>
      </c>
      <c r="C17">
        <v>1</v>
      </c>
      <c r="D17">
        <v>50</v>
      </c>
      <c r="E17">
        <v>0</v>
      </c>
      <c r="F17">
        <v>0</v>
      </c>
      <c r="G17" t="s">
        <v>18</v>
      </c>
      <c r="H17" t="s">
        <v>22</v>
      </c>
      <c r="I17">
        <v>84</v>
      </c>
      <c r="J17" s="2">
        <f>RANK(I17,$I$2:$I$245)</f>
        <v>36</v>
      </c>
      <c r="K17">
        <v>4.82</v>
      </c>
      <c r="L17">
        <v>17.427385892116199</v>
      </c>
      <c r="M17">
        <f>RANK(L17,$L$2:$L$245)</f>
        <v>22</v>
      </c>
      <c r="N17" s="2">
        <f>I17*EXP(-0.1*K17)</f>
        <v>51.873953188233116</v>
      </c>
      <c r="O17" s="2">
        <f>RANK(N17,$N$2:$N$245)</f>
        <v>16</v>
      </c>
    </row>
    <row r="18" spans="1:15" x14ac:dyDescent="0.2">
      <c r="A18" t="s">
        <v>16</v>
      </c>
      <c r="B18" t="s">
        <v>25</v>
      </c>
      <c r="C18">
        <v>1</v>
      </c>
      <c r="D18">
        <v>75</v>
      </c>
      <c r="E18">
        <v>0</v>
      </c>
      <c r="F18">
        <v>0</v>
      </c>
      <c r="G18" t="s">
        <v>18</v>
      </c>
      <c r="H18" t="s">
        <v>22</v>
      </c>
      <c r="I18">
        <v>92</v>
      </c>
      <c r="J18" s="3">
        <f>RANK(I18,$I$2:$I$245)</f>
        <v>4</v>
      </c>
      <c r="K18">
        <v>5.74</v>
      </c>
      <c r="L18">
        <v>16.0278745644599</v>
      </c>
      <c r="M18">
        <f>RANK(L18,$L$2:$L$245)</f>
        <v>33</v>
      </c>
      <c r="N18" s="2">
        <f>I18*EXP(-0.1*K18)</f>
        <v>51.820642671224427</v>
      </c>
      <c r="O18" s="2">
        <f>RANK(N18,$N$2:$N$245)</f>
        <v>17</v>
      </c>
    </row>
    <row r="19" spans="1:15" x14ac:dyDescent="0.2">
      <c r="A19" t="s">
        <v>16</v>
      </c>
      <c r="B19" t="s">
        <v>24</v>
      </c>
      <c r="C19">
        <v>2</v>
      </c>
      <c r="D19">
        <v>100</v>
      </c>
      <c r="E19">
        <v>0</v>
      </c>
      <c r="F19">
        <v>0</v>
      </c>
      <c r="G19" t="s">
        <v>18</v>
      </c>
      <c r="H19" t="s">
        <v>22</v>
      </c>
      <c r="I19">
        <v>84</v>
      </c>
      <c r="J19" s="2">
        <f>RANK(I19,$I$2:$I$245)</f>
        <v>36</v>
      </c>
      <c r="K19">
        <v>4.84</v>
      </c>
      <c r="L19">
        <v>17.355371900826398</v>
      </c>
      <c r="M19">
        <f>RANK(L19,$L$2:$L$245)</f>
        <v>24</v>
      </c>
      <c r="N19" s="2">
        <f>I19*EXP(-0.1*K19)</f>
        <v>51.770308960632335</v>
      </c>
      <c r="O19" s="2">
        <f>RANK(N19,$N$2:$N$245)</f>
        <v>18</v>
      </c>
    </row>
    <row r="20" spans="1:15" x14ac:dyDescent="0.2">
      <c r="A20" t="s">
        <v>16</v>
      </c>
      <c r="B20" t="s">
        <v>25</v>
      </c>
      <c r="C20">
        <v>1</v>
      </c>
      <c r="D20">
        <v>25</v>
      </c>
      <c r="E20">
        <v>0</v>
      </c>
      <c r="F20">
        <v>0</v>
      </c>
      <c r="G20" t="s">
        <v>18</v>
      </c>
      <c r="H20" t="s">
        <v>19</v>
      </c>
      <c r="I20">
        <v>80.932000000000002</v>
      </c>
      <c r="J20" s="2">
        <f>RANK(I20,$I$2:$I$245)</f>
        <v>52</v>
      </c>
      <c r="K20">
        <v>4.5199999999999996</v>
      </c>
      <c r="L20">
        <v>17.905309734513299</v>
      </c>
      <c r="M20">
        <f>RANK(L20,$L$2:$L$245)</f>
        <v>15</v>
      </c>
      <c r="N20" s="2">
        <f>I20*EXP(-0.1*K20)</f>
        <v>51.501415664190745</v>
      </c>
      <c r="O20" s="2">
        <f>RANK(N20,$N$2:$N$245)</f>
        <v>19</v>
      </c>
    </row>
    <row r="21" spans="1:15" x14ac:dyDescent="0.2">
      <c r="A21" t="s">
        <v>16</v>
      </c>
      <c r="B21" t="s">
        <v>25</v>
      </c>
      <c r="C21">
        <v>2</v>
      </c>
      <c r="D21">
        <v>50</v>
      </c>
      <c r="E21">
        <v>0</v>
      </c>
      <c r="F21">
        <v>0</v>
      </c>
      <c r="G21" t="s">
        <v>18</v>
      </c>
      <c r="H21" t="s">
        <v>19</v>
      </c>
      <c r="I21">
        <v>81.903999999999996</v>
      </c>
      <c r="J21" s="2">
        <f>RANK(I21,$I$2:$I$245)</f>
        <v>48</v>
      </c>
      <c r="K21">
        <v>4.6399999999999997</v>
      </c>
      <c r="L21">
        <v>17.651724137931001</v>
      </c>
      <c r="M21">
        <f>RANK(L21,$L$2:$L$245)</f>
        <v>18</v>
      </c>
      <c r="N21" s="2">
        <f>I21*EXP(-0.1*K21)</f>
        <v>51.498250165073223</v>
      </c>
      <c r="O21" s="2">
        <f>RANK(N21,$N$2:$N$245)</f>
        <v>20</v>
      </c>
    </row>
    <row r="22" spans="1:15" x14ac:dyDescent="0.2">
      <c r="A22" t="s">
        <v>16</v>
      </c>
      <c r="B22" t="s">
        <v>25</v>
      </c>
      <c r="C22">
        <v>2</v>
      </c>
      <c r="D22">
        <v>100</v>
      </c>
      <c r="E22">
        <v>0</v>
      </c>
      <c r="F22">
        <v>0</v>
      </c>
      <c r="G22" t="s">
        <v>18</v>
      </c>
      <c r="H22" t="s">
        <v>22</v>
      </c>
      <c r="I22">
        <v>90</v>
      </c>
      <c r="J22" s="3">
        <f>RANK(I22,$I$2:$I$245)</f>
        <v>8</v>
      </c>
      <c r="K22">
        <v>5.72</v>
      </c>
      <c r="L22">
        <v>15.7342657342657</v>
      </c>
      <c r="M22">
        <f>RANK(L22,$L$2:$L$245)</f>
        <v>34</v>
      </c>
      <c r="N22" s="2">
        <f>I22*EXP(-0.1*K22)</f>
        <v>50.795596630742253</v>
      </c>
      <c r="O22" s="2">
        <f>RANK(N22,$N$2:$N$245)</f>
        <v>21</v>
      </c>
    </row>
    <row r="23" spans="1:15" x14ac:dyDescent="0.2">
      <c r="A23" t="s">
        <v>16</v>
      </c>
      <c r="B23" t="s">
        <v>24</v>
      </c>
      <c r="C23">
        <v>5</v>
      </c>
      <c r="D23">
        <v>100</v>
      </c>
      <c r="E23">
        <v>0</v>
      </c>
      <c r="F23">
        <v>0</v>
      </c>
      <c r="G23" t="s">
        <v>18</v>
      </c>
      <c r="H23" t="s">
        <v>19</v>
      </c>
      <c r="I23">
        <v>76.268000000000001</v>
      </c>
      <c r="J23" s="2">
        <f>RANK(I23,$I$2:$I$245)</f>
        <v>69</v>
      </c>
      <c r="K23">
        <v>4.16</v>
      </c>
      <c r="L23">
        <v>18.333653846153801</v>
      </c>
      <c r="M23">
        <f>RANK(L23,$L$2:$L$245)</f>
        <v>13</v>
      </c>
      <c r="N23" s="2">
        <f>I23*EXP(-0.1*K23)</f>
        <v>50.312494869303386</v>
      </c>
      <c r="O23" s="2">
        <f>RANK(N23,$N$2:$N$245)</f>
        <v>22</v>
      </c>
    </row>
    <row r="24" spans="1:15" x14ac:dyDescent="0.2">
      <c r="A24" t="s">
        <v>16</v>
      </c>
      <c r="B24" t="s">
        <v>25</v>
      </c>
      <c r="C24">
        <v>1</v>
      </c>
      <c r="D24">
        <v>50</v>
      </c>
      <c r="E24">
        <v>0</v>
      </c>
      <c r="F24">
        <v>0</v>
      </c>
      <c r="G24" t="s">
        <v>18</v>
      </c>
      <c r="H24" t="s">
        <v>22</v>
      </c>
      <c r="I24">
        <v>88</v>
      </c>
      <c r="J24" s="3">
        <f>RANK(I24,$I$2:$I$245)</f>
        <v>18</v>
      </c>
      <c r="K24">
        <v>5.6</v>
      </c>
      <c r="L24">
        <v>15.714285714285699</v>
      </c>
      <c r="M24">
        <f>RANK(L24,$L$2:$L$245)</f>
        <v>35</v>
      </c>
      <c r="N24" s="2">
        <f>I24*EXP(-0.1*K24)</f>
        <v>50.266397618695706</v>
      </c>
      <c r="O24" s="2">
        <f>RANK(N24,$N$2:$N$245)</f>
        <v>23</v>
      </c>
    </row>
    <row r="25" spans="1:15" x14ac:dyDescent="0.2">
      <c r="A25" t="s">
        <v>16</v>
      </c>
      <c r="B25" t="s">
        <v>24</v>
      </c>
      <c r="C25">
        <v>2</v>
      </c>
      <c r="D25">
        <v>25</v>
      </c>
      <c r="E25">
        <v>0</v>
      </c>
      <c r="F25">
        <v>0</v>
      </c>
      <c r="G25" t="s">
        <v>18</v>
      </c>
      <c r="H25" t="s">
        <v>19</v>
      </c>
      <c r="I25">
        <v>70.156000000000006</v>
      </c>
      <c r="J25" s="2">
        <f>RANK(I25,$I$2:$I$245)</f>
        <v>86</v>
      </c>
      <c r="K25">
        <v>3.46</v>
      </c>
      <c r="L25">
        <v>20.2763005780347</v>
      </c>
      <c r="M25">
        <f>RANK(L25,$L$2:$L$245)</f>
        <v>1</v>
      </c>
      <c r="N25" s="2">
        <f>I25*EXP(-0.1*K25)</f>
        <v>49.636246045443741</v>
      </c>
      <c r="O25" s="2">
        <f>RANK(N25,$N$2:$N$245)</f>
        <v>24</v>
      </c>
    </row>
    <row r="26" spans="1:15" x14ac:dyDescent="0.2">
      <c r="A26" t="s">
        <v>16</v>
      </c>
      <c r="B26" t="s">
        <v>24</v>
      </c>
      <c r="C26">
        <v>2</v>
      </c>
      <c r="D26">
        <v>75</v>
      </c>
      <c r="E26">
        <v>0</v>
      </c>
      <c r="F26">
        <v>0</v>
      </c>
      <c r="G26" t="s">
        <v>18</v>
      </c>
      <c r="H26" t="s">
        <v>22</v>
      </c>
      <c r="I26">
        <v>80</v>
      </c>
      <c r="J26" s="2">
        <f>RANK(I26,$I$2:$I$245)</f>
        <v>55</v>
      </c>
      <c r="K26">
        <v>4.84</v>
      </c>
      <c r="L26">
        <v>16.528925619834698</v>
      </c>
      <c r="M26">
        <f>RANK(L26,$L$2:$L$245)</f>
        <v>28</v>
      </c>
      <c r="N26" s="2">
        <f>I26*EXP(-0.1*K26)</f>
        <v>49.30505615298317</v>
      </c>
      <c r="O26" s="2">
        <f>RANK(N26,$N$2:$N$245)</f>
        <v>25</v>
      </c>
    </row>
    <row r="27" spans="1:15" x14ac:dyDescent="0.2">
      <c r="A27" t="s">
        <v>16</v>
      </c>
      <c r="B27" t="s">
        <v>24</v>
      </c>
      <c r="C27">
        <v>1</v>
      </c>
      <c r="D27">
        <v>100</v>
      </c>
      <c r="E27">
        <v>0</v>
      </c>
      <c r="F27">
        <v>0</v>
      </c>
      <c r="G27" t="s">
        <v>23</v>
      </c>
      <c r="H27" t="s">
        <v>19</v>
      </c>
      <c r="I27">
        <v>89.988</v>
      </c>
      <c r="J27" s="3">
        <f>RANK(I27,$I$2:$I$245)</f>
        <v>12</v>
      </c>
      <c r="K27">
        <v>6.02</v>
      </c>
      <c r="L27">
        <v>14.948172757475101</v>
      </c>
      <c r="M27">
        <f>RANK(L27,$L$2:$L$245)</f>
        <v>38</v>
      </c>
      <c r="N27" s="2">
        <f>I27*EXP(-0.1*K27)</f>
        <v>49.287787292918907</v>
      </c>
      <c r="O27" s="2">
        <f>RANK(N27,$N$2:$N$245)</f>
        <v>26</v>
      </c>
    </row>
    <row r="28" spans="1:15" x14ac:dyDescent="0.2">
      <c r="A28" t="s">
        <v>16</v>
      </c>
      <c r="B28" t="s">
        <v>24</v>
      </c>
      <c r="C28">
        <v>5</v>
      </c>
      <c r="D28">
        <v>75</v>
      </c>
      <c r="E28">
        <v>0</v>
      </c>
      <c r="F28">
        <v>0</v>
      </c>
      <c r="G28" t="s">
        <v>18</v>
      </c>
      <c r="H28" t="s">
        <v>19</v>
      </c>
      <c r="I28">
        <v>71.888000000000005</v>
      </c>
      <c r="J28" s="2">
        <f>RANK(I28,$I$2:$I$245)</f>
        <v>80</v>
      </c>
      <c r="K28">
        <v>3.82</v>
      </c>
      <c r="L28">
        <v>18.818848167539301</v>
      </c>
      <c r="M28">
        <f>RANK(L28,$L$2:$L$245)</f>
        <v>10</v>
      </c>
      <c r="N28" s="2">
        <f>I28*EXP(-0.1*K28)</f>
        <v>49.063204384829085</v>
      </c>
      <c r="O28" s="2">
        <f>RANK(N28,$N$2:$N$245)</f>
        <v>27</v>
      </c>
    </row>
    <row r="29" spans="1:15" x14ac:dyDescent="0.2">
      <c r="A29" t="s">
        <v>16</v>
      </c>
      <c r="B29" t="s">
        <v>25</v>
      </c>
      <c r="C29">
        <v>5</v>
      </c>
      <c r="D29">
        <v>100</v>
      </c>
      <c r="E29">
        <v>0</v>
      </c>
      <c r="F29">
        <v>0</v>
      </c>
      <c r="G29" t="s">
        <v>18</v>
      </c>
      <c r="H29" t="s">
        <v>19</v>
      </c>
      <c r="I29">
        <v>78</v>
      </c>
      <c r="J29">
        <f>RANK(I29,$I$2:$I$245)</f>
        <v>62</v>
      </c>
      <c r="K29">
        <v>4.66</v>
      </c>
      <c r="L29">
        <v>16.7381974248927</v>
      </c>
      <c r="M29">
        <f>RANK(L29,$L$2:$L$245)</f>
        <v>27</v>
      </c>
      <c r="N29" s="2">
        <f>I29*EXP(-0.1*K29)</f>
        <v>48.945568155692577</v>
      </c>
      <c r="O29" s="2">
        <f>RANK(N29,$N$2:$N$245)</f>
        <v>28</v>
      </c>
    </row>
    <row r="30" spans="1:15" x14ac:dyDescent="0.2">
      <c r="A30" t="s">
        <v>16</v>
      </c>
      <c r="B30" t="s">
        <v>25</v>
      </c>
      <c r="C30">
        <v>2</v>
      </c>
      <c r="D30">
        <v>75</v>
      </c>
      <c r="E30">
        <v>0</v>
      </c>
      <c r="F30">
        <v>0</v>
      </c>
      <c r="G30" t="s">
        <v>18</v>
      </c>
      <c r="H30" t="s">
        <v>22</v>
      </c>
      <c r="I30">
        <v>86</v>
      </c>
      <c r="J30" s="2">
        <f>RANK(I30,$I$2:$I$245)</f>
        <v>29</v>
      </c>
      <c r="K30">
        <v>5.64</v>
      </c>
      <c r="L30">
        <v>15.248226950354599</v>
      </c>
      <c r="M30">
        <f>RANK(L30,$L$2:$L$245)</f>
        <v>36</v>
      </c>
      <c r="N30" s="2">
        <f>I30*EXP(-0.1*K30)</f>
        <v>48.927876041404474</v>
      </c>
      <c r="O30" s="2">
        <f>RANK(N30,$N$2:$N$245)</f>
        <v>29</v>
      </c>
    </row>
    <row r="31" spans="1:15" x14ac:dyDescent="0.2">
      <c r="A31" t="s">
        <v>16</v>
      </c>
      <c r="B31" t="s">
        <v>25</v>
      </c>
      <c r="C31">
        <v>5</v>
      </c>
      <c r="D31">
        <v>75</v>
      </c>
      <c r="E31">
        <v>0</v>
      </c>
      <c r="F31">
        <v>0</v>
      </c>
      <c r="G31" t="s">
        <v>18</v>
      </c>
      <c r="H31" t="s">
        <v>19</v>
      </c>
      <c r="I31">
        <v>75.352000000000004</v>
      </c>
      <c r="J31" s="2">
        <f>RANK(I31,$I$2:$I$245)</f>
        <v>73</v>
      </c>
      <c r="K31">
        <v>4.4000000000000004</v>
      </c>
      <c r="L31">
        <v>17.125454545454499</v>
      </c>
      <c r="M31">
        <f>RANK(L31,$L$2:$L$245)</f>
        <v>26</v>
      </c>
      <c r="N31" s="2">
        <f>I31*EXP(-0.1*K31)</f>
        <v>48.529432401456866</v>
      </c>
      <c r="O31" s="2">
        <f>RANK(N31,$N$2:$N$245)</f>
        <v>30</v>
      </c>
    </row>
    <row r="32" spans="1:15" x14ac:dyDescent="0.2">
      <c r="A32" t="s">
        <v>16</v>
      </c>
      <c r="B32" t="s">
        <v>24</v>
      </c>
      <c r="C32">
        <v>1</v>
      </c>
      <c r="D32">
        <v>75</v>
      </c>
      <c r="E32">
        <v>0</v>
      </c>
      <c r="F32">
        <v>0</v>
      </c>
      <c r="G32" t="s">
        <v>23</v>
      </c>
      <c r="H32" t="s">
        <v>19</v>
      </c>
      <c r="I32">
        <v>87.983999999999995</v>
      </c>
      <c r="J32" s="2">
        <f>RANK(I32,$I$2:$I$245)</f>
        <v>23</v>
      </c>
      <c r="K32">
        <v>6.08</v>
      </c>
      <c r="L32">
        <v>14.4710526315789</v>
      </c>
      <c r="M32">
        <f>RANK(L32,$L$2:$L$245)</f>
        <v>40</v>
      </c>
      <c r="N32" s="2">
        <f>I32*EXP(-0.1*K32)</f>
        <v>47.901890906519277</v>
      </c>
      <c r="O32" s="2">
        <f>RANK(N32,$N$2:$N$245)</f>
        <v>31</v>
      </c>
    </row>
    <row r="33" spans="1:15" x14ac:dyDescent="0.2">
      <c r="A33" t="s">
        <v>16</v>
      </c>
      <c r="B33" t="s">
        <v>24</v>
      </c>
      <c r="C33">
        <v>1</v>
      </c>
      <c r="D33">
        <v>25</v>
      </c>
      <c r="E33">
        <v>0</v>
      </c>
      <c r="F33">
        <v>0</v>
      </c>
      <c r="G33" t="s">
        <v>18</v>
      </c>
      <c r="H33" t="s">
        <v>22</v>
      </c>
      <c r="I33">
        <v>76</v>
      </c>
      <c r="J33" s="2">
        <f>RANK(I33,$I$2:$I$245)</f>
        <v>70</v>
      </c>
      <c r="K33">
        <v>4.68</v>
      </c>
      <c r="L33">
        <v>16.239316239316199</v>
      </c>
      <c r="M33">
        <f>RANK(L33,$L$2:$L$245)</f>
        <v>30</v>
      </c>
      <c r="N33" s="2">
        <f>I33*EXP(-0.1*K33)</f>
        <v>47.595267797974252</v>
      </c>
      <c r="O33" s="2">
        <f>RANK(N33,$N$2:$N$245)</f>
        <v>32</v>
      </c>
    </row>
    <row r="34" spans="1:15" x14ac:dyDescent="0.2">
      <c r="A34" t="s">
        <v>16</v>
      </c>
      <c r="B34" t="s">
        <v>24</v>
      </c>
      <c r="C34">
        <v>2</v>
      </c>
      <c r="D34">
        <v>50</v>
      </c>
      <c r="E34">
        <v>0</v>
      </c>
      <c r="F34">
        <v>0</v>
      </c>
      <c r="G34" t="s">
        <v>18</v>
      </c>
      <c r="H34" t="s">
        <v>22</v>
      </c>
      <c r="I34">
        <v>76</v>
      </c>
      <c r="J34" s="2">
        <f>RANK(I34,$I$2:$I$245)</f>
        <v>70</v>
      </c>
      <c r="K34">
        <v>4.72</v>
      </c>
      <c r="L34">
        <v>16.1016949152542</v>
      </c>
      <c r="M34">
        <f>RANK(L34,$L$2:$L$245)</f>
        <v>32</v>
      </c>
      <c r="N34" s="2">
        <f>I34*EXP(-0.1*K34)</f>
        <v>47.405266981749165</v>
      </c>
      <c r="O34" s="2">
        <f>RANK(N34,$N$2:$N$245)</f>
        <v>33</v>
      </c>
    </row>
    <row r="35" spans="1:15" x14ac:dyDescent="0.2">
      <c r="A35" t="s">
        <v>16</v>
      </c>
      <c r="B35" t="s">
        <v>25</v>
      </c>
      <c r="C35">
        <v>2</v>
      </c>
      <c r="D35">
        <v>25</v>
      </c>
      <c r="E35">
        <v>0</v>
      </c>
      <c r="F35">
        <v>0</v>
      </c>
      <c r="G35" t="s">
        <v>18</v>
      </c>
      <c r="H35" t="s">
        <v>19</v>
      </c>
      <c r="I35">
        <v>69.031999999999996</v>
      </c>
      <c r="J35" s="2">
        <f>RANK(I35,$I$2:$I$245)</f>
        <v>90</v>
      </c>
      <c r="K35">
        <v>3.92</v>
      </c>
      <c r="L35">
        <v>17.610204081632698</v>
      </c>
      <c r="M35">
        <f>RANK(L35,$L$2:$L$245)</f>
        <v>20</v>
      </c>
      <c r="N35" s="2">
        <f>I35*EXP(-0.1*K35)</f>
        <v>46.645206394929936</v>
      </c>
      <c r="O35" s="2">
        <f>RANK(N35,$N$2:$N$245)</f>
        <v>34</v>
      </c>
    </row>
    <row r="36" spans="1:15" x14ac:dyDescent="0.2">
      <c r="A36" t="s">
        <v>16</v>
      </c>
      <c r="B36" t="s">
        <v>25</v>
      </c>
      <c r="C36">
        <v>1</v>
      </c>
      <c r="D36">
        <v>100</v>
      </c>
      <c r="E36">
        <v>0</v>
      </c>
      <c r="F36">
        <v>0</v>
      </c>
      <c r="G36" t="s">
        <v>23</v>
      </c>
      <c r="H36" t="s">
        <v>19</v>
      </c>
      <c r="I36">
        <v>92.075999999999993</v>
      </c>
      <c r="J36" s="3">
        <f>RANK(I36,$I$2:$I$245)</f>
        <v>3</v>
      </c>
      <c r="K36">
        <v>6.82</v>
      </c>
      <c r="L36">
        <v>13.500879765395901</v>
      </c>
      <c r="M36">
        <f>RANK(L36,$L$2:$L$245)</f>
        <v>46</v>
      </c>
      <c r="N36" s="2">
        <f>I36*EXP(-0.1*K36)</f>
        <v>46.554064889043026</v>
      </c>
      <c r="O36" s="2">
        <f>RANK(N36,$N$2:$N$245)</f>
        <v>35</v>
      </c>
    </row>
    <row r="37" spans="1:15" x14ac:dyDescent="0.2">
      <c r="A37" t="s">
        <v>16</v>
      </c>
      <c r="B37" t="s">
        <v>24</v>
      </c>
      <c r="C37">
        <v>1</v>
      </c>
      <c r="D37">
        <v>100</v>
      </c>
      <c r="E37">
        <v>0</v>
      </c>
      <c r="F37">
        <v>0</v>
      </c>
      <c r="G37" t="s">
        <v>23</v>
      </c>
      <c r="H37" t="s">
        <v>22</v>
      </c>
      <c r="I37">
        <v>90</v>
      </c>
      <c r="J37" s="3">
        <f>RANK(I37,$I$2:$I$245)</f>
        <v>8</v>
      </c>
      <c r="K37">
        <v>6.64</v>
      </c>
      <c r="L37">
        <v>13.554216867469901</v>
      </c>
      <c r="M37">
        <f>RANK(L37,$L$2:$L$245)</f>
        <v>45</v>
      </c>
      <c r="N37" s="2">
        <f>I37*EXP(-0.1*K37)</f>
        <v>46.330925261115254</v>
      </c>
      <c r="O37" s="2">
        <f>RANK(N37,$N$2:$N$245)</f>
        <v>36</v>
      </c>
    </row>
    <row r="38" spans="1:15" x14ac:dyDescent="0.2">
      <c r="A38" t="s">
        <v>16</v>
      </c>
      <c r="B38" t="s">
        <v>24</v>
      </c>
      <c r="C38">
        <v>5</v>
      </c>
      <c r="D38">
        <v>50</v>
      </c>
      <c r="E38">
        <v>0</v>
      </c>
      <c r="F38">
        <v>0</v>
      </c>
      <c r="G38" t="s">
        <v>18</v>
      </c>
      <c r="H38" t="s">
        <v>19</v>
      </c>
      <c r="I38">
        <v>64.715999999999994</v>
      </c>
      <c r="J38">
        <f>RANK(I38,$I$2:$I$245)</f>
        <v>96</v>
      </c>
      <c r="K38">
        <v>3.42</v>
      </c>
      <c r="L38">
        <v>18.922807017543899</v>
      </c>
      <c r="M38">
        <f>RANK(L38,$L$2:$L$245)</f>
        <v>9</v>
      </c>
      <c r="N38" s="2">
        <f>I38*EXP(-0.1*K38)</f>
        <v>45.970894415959108</v>
      </c>
      <c r="O38" s="2">
        <f>RANK(N38,$N$2:$N$245)</f>
        <v>37</v>
      </c>
    </row>
    <row r="39" spans="1:15" x14ac:dyDescent="0.2">
      <c r="A39" t="s">
        <v>16</v>
      </c>
      <c r="B39" t="s">
        <v>25</v>
      </c>
      <c r="C39">
        <v>1</v>
      </c>
      <c r="D39">
        <v>25</v>
      </c>
      <c r="E39">
        <v>0</v>
      </c>
      <c r="F39">
        <v>0</v>
      </c>
      <c r="G39" t="s">
        <v>18</v>
      </c>
      <c r="H39" t="s">
        <v>22</v>
      </c>
      <c r="I39">
        <v>78</v>
      </c>
      <c r="J39" s="2">
        <f>RANK(I39,$I$2:$I$245)</f>
        <v>62</v>
      </c>
      <c r="K39">
        <v>5.38</v>
      </c>
      <c r="L39">
        <v>14.4981412639405</v>
      </c>
      <c r="M39">
        <f>RANK(L39,$L$2:$L$245)</f>
        <v>39</v>
      </c>
      <c r="N39" s="2">
        <f>I39*EXP(-0.1*K39)</f>
        <v>45.545363381905041</v>
      </c>
      <c r="O39" s="2">
        <f>RANK(N39,$N$2:$N$245)</f>
        <v>38</v>
      </c>
    </row>
    <row r="40" spans="1:15" x14ac:dyDescent="0.2">
      <c r="A40" t="s">
        <v>16</v>
      </c>
      <c r="B40" t="s">
        <v>25</v>
      </c>
      <c r="C40">
        <v>5</v>
      </c>
      <c r="D40">
        <v>50</v>
      </c>
      <c r="E40">
        <v>0</v>
      </c>
      <c r="F40">
        <v>0</v>
      </c>
      <c r="G40" t="s">
        <v>18</v>
      </c>
      <c r="H40" t="s">
        <v>19</v>
      </c>
      <c r="I40">
        <v>66.296000000000006</v>
      </c>
      <c r="J40" s="2">
        <f>RANK(I40,$I$2:$I$245)</f>
        <v>95</v>
      </c>
      <c r="K40">
        <v>3.86</v>
      </c>
      <c r="L40">
        <v>17.175129533678799</v>
      </c>
      <c r="M40">
        <f>RANK(L40,$L$2:$L$245)</f>
        <v>25</v>
      </c>
      <c r="N40" s="2">
        <f>I40*EXP(-0.1*K40)</f>
        <v>45.066066770502566</v>
      </c>
      <c r="O40" s="2">
        <f>RANK(N40,$N$2:$N$245)</f>
        <v>39</v>
      </c>
    </row>
    <row r="41" spans="1:15" x14ac:dyDescent="0.2">
      <c r="A41" t="s">
        <v>16</v>
      </c>
      <c r="B41" t="s">
        <v>25</v>
      </c>
      <c r="C41">
        <v>2</v>
      </c>
      <c r="D41">
        <v>50</v>
      </c>
      <c r="E41">
        <v>0</v>
      </c>
      <c r="F41">
        <v>0</v>
      </c>
      <c r="G41" t="s">
        <v>18</v>
      </c>
      <c r="H41" t="s">
        <v>22</v>
      </c>
      <c r="I41">
        <v>78</v>
      </c>
      <c r="J41" s="2">
        <f>RANK(I41,$I$2:$I$245)</f>
        <v>62</v>
      </c>
      <c r="K41">
        <v>5.52</v>
      </c>
      <c r="L41">
        <v>14.130434782608701</v>
      </c>
      <c r="M41">
        <f>RANK(L41,$L$2:$L$245)</f>
        <v>41</v>
      </c>
      <c r="N41" s="2">
        <f>I41*EXP(-0.1*K41)</f>
        <v>44.912170983456235</v>
      </c>
      <c r="O41" s="2">
        <f>RANK(N41,$N$2:$N$245)</f>
        <v>40</v>
      </c>
    </row>
    <row r="42" spans="1:15" x14ac:dyDescent="0.2">
      <c r="A42" t="s">
        <v>16</v>
      </c>
      <c r="B42" t="s">
        <v>25</v>
      </c>
      <c r="C42">
        <v>5</v>
      </c>
      <c r="D42">
        <v>100</v>
      </c>
      <c r="E42">
        <v>0</v>
      </c>
      <c r="F42">
        <v>0</v>
      </c>
      <c r="G42" t="s">
        <v>18</v>
      </c>
      <c r="H42" t="s">
        <v>22</v>
      </c>
      <c r="I42">
        <v>78</v>
      </c>
      <c r="J42">
        <f>RANK(I42,$I$2:$I$245)</f>
        <v>62</v>
      </c>
      <c r="K42">
        <v>5.58</v>
      </c>
      <c r="L42">
        <v>13.9784946236559</v>
      </c>
      <c r="M42">
        <f>RANK(L42,$L$2:$L$245)</f>
        <v>42</v>
      </c>
      <c r="N42" s="2">
        <f>I42*EXP(-0.1*K42)</f>
        <v>44.64350476221739</v>
      </c>
      <c r="O42" s="2">
        <f>RANK(N42,$N$2:$N$245)</f>
        <v>41</v>
      </c>
    </row>
    <row r="43" spans="1:15" x14ac:dyDescent="0.2">
      <c r="A43" t="s">
        <v>16</v>
      </c>
      <c r="B43" t="s">
        <v>25</v>
      </c>
      <c r="C43">
        <v>1</v>
      </c>
      <c r="D43">
        <v>75</v>
      </c>
      <c r="E43">
        <v>0</v>
      </c>
      <c r="F43">
        <v>0</v>
      </c>
      <c r="G43" t="s">
        <v>23</v>
      </c>
      <c r="H43" t="s">
        <v>19</v>
      </c>
      <c r="I43">
        <v>89.74</v>
      </c>
      <c r="J43" s="3">
        <f>RANK(I43,$I$2:$I$245)</f>
        <v>14</v>
      </c>
      <c r="K43">
        <v>7.06</v>
      </c>
      <c r="L43">
        <v>12.7110481586402</v>
      </c>
      <c r="M43">
        <f>RANK(L43,$L$2:$L$245)</f>
        <v>48</v>
      </c>
      <c r="N43" s="2">
        <f>I43*EXP(-0.1*K43)</f>
        <v>44.296984313555761</v>
      </c>
      <c r="O43" s="2">
        <f>RANK(N43,$N$2:$N$245)</f>
        <v>42</v>
      </c>
    </row>
    <row r="44" spans="1:15" x14ac:dyDescent="0.2">
      <c r="A44" t="s">
        <v>16</v>
      </c>
      <c r="B44" t="s">
        <v>24</v>
      </c>
      <c r="C44">
        <v>5</v>
      </c>
      <c r="D44">
        <v>100</v>
      </c>
      <c r="E44">
        <v>0</v>
      </c>
      <c r="F44">
        <v>0</v>
      </c>
      <c r="G44" t="s">
        <v>18</v>
      </c>
      <c r="H44" t="s">
        <v>22</v>
      </c>
      <c r="I44">
        <v>70</v>
      </c>
      <c r="J44" s="2">
        <f>RANK(I44,$I$2:$I$245)</f>
        <v>87</v>
      </c>
      <c r="K44">
        <v>4.66</v>
      </c>
      <c r="L44">
        <v>15.021459227467799</v>
      </c>
      <c r="M44">
        <f>RANK(L44,$L$2:$L$245)</f>
        <v>37</v>
      </c>
      <c r="N44" s="2">
        <f>I44*EXP(-0.1*K44)</f>
        <v>43.92550988331385</v>
      </c>
      <c r="O44" s="2">
        <f>RANK(N44,$N$2:$N$245)</f>
        <v>43</v>
      </c>
    </row>
    <row r="45" spans="1:15" x14ac:dyDescent="0.2">
      <c r="A45" t="s">
        <v>16</v>
      </c>
      <c r="B45" t="s">
        <v>24</v>
      </c>
      <c r="C45">
        <v>1</v>
      </c>
      <c r="D45">
        <v>75</v>
      </c>
      <c r="E45">
        <v>0</v>
      </c>
      <c r="F45">
        <v>0</v>
      </c>
      <c r="G45" t="s">
        <v>23</v>
      </c>
      <c r="H45" t="s">
        <v>22</v>
      </c>
      <c r="I45">
        <v>86</v>
      </c>
      <c r="J45" s="2">
        <f>RANK(I45,$I$2:$I$245)</f>
        <v>29</v>
      </c>
      <c r="K45">
        <v>6.88</v>
      </c>
      <c r="L45">
        <v>12.5</v>
      </c>
      <c r="M45">
        <f>RANK(L45,$L$2:$L$245)</f>
        <v>49</v>
      </c>
      <c r="N45" s="2">
        <f>I45*EXP(-0.1*K45)</f>
        <v>43.221899352186838</v>
      </c>
      <c r="O45" s="2">
        <f>RANK(N45,$N$2:$N$245)</f>
        <v>44</v>
      </c>
    </row>
    <row r="46" spans="1:15" x14ac:dyDescent="0.2">
      <c r="A46" t="s">
        <v>16</v>
      </c>
      <c r="B46" t="s">
        <v>24</v>
      </c>
      <c r="C46">
        <v>1</v>
      </c>
      <c r="D46">
        <v>50</v>
      </c>
      <c r="E46">
        <v>0</v>
      </c>
      <c r="F46">
        <v>0</v>
      </c>
      <c r="G46" t="s">
        <v>23</v>
      </c>
      <c r="H46" t="s">
        <v>19</v>
      </c>
      <c r="I46">
        <v>82.031999999999996</v>
      </c>
      <c r="J46" s="2">
        <f>RANK(I46,$I$2:$I$245)</f>
        <v>45</v>
      </c>
      <c r="K46">
        <v>6.42</v>
      </c>
      <c r="L46">
        <v>12.7775700934579</v>
      </c>
      <c r="M46">
        <f>RANK(L46,$L$2:$L$245)</f>
        <v>47</v>
      </c>
      <c r="N46" s="2">
        <f>I46*EXP(-0.1*K46)</f>
        <v>43.168428876901103</v>
      </c>
      <c r="O46" s="2">
        <f>RANK(N46,$N$2:$N$245)</f>
        <v>45</v>
      </c>
    </row>
    <row r="47" spans="1:15" x14ac:dyDescent="0.2">
      <c r="A47" t="s">
        <v>16</v>
      </c>
      <c r="B47" t="s">
        <v>25</v>
      </c>
      <c r="C47">
        <v>1</v>
      </c>
      <c r="D47">
        <v>100</v>
      </c>
      <c r="E47">
        <v>0</v>
      </c>
      <c r="F47">
        <v>0</v>
      </c>
      <c r="G47" t="s">
        <v>23</v>
      </c>
      <c r="H47" t="s">
        <v>22</v>
      </c>
      <c r="I47">
        <v>92</v>
      </c>
      <c r="J47" s="3">
        <f>RANK(I47,$I$2:$I$245)</f>
        <v>4</v>
      </c>
      <c r="K47">
        <v>7.64</v>
      </c>
      <c r="L47">
        <v>12.0418848167539</v>
      </c>
      <c r="M47">
        <f>RANK(L47,$L$2:$L$245)</f>
        <v>52</v>
      </c>
      <c r="N47" s="2">
        <f>I47*EXP(-0.1*K47)</f>
        <v>42.8535537837842</v>
      </c>
      <c r="O47" s="2">
        <f>RANK(N47,$N$2:$N$245)</f>
        <v>46</v>
      </c>
    </row>
    <row r="48" spans="1:15" x14ac:dyDescent="0.2">
      <c r="A48" t="s">
        <v>16</v>
      </c>
      <c r="B48" t="s">
        <v>25</v>
      </c>
      <c r="C48">
        <v>2</v>
      </c>
      <c r="D48">
        <v>100</v>
      </c>
      <c r="E48">
        <v>0</v>
      </c>
      <c r="F48">
        <v>0</v>
      </c>
      <c r="G48" t="s">
        <v>23</v>
      </c>
      <c r="H48" t="s">
        <v>19</v>
      </c>
      <c r="I48">
        <v>85.552000000000007</v>
      </c>
      <c r="J48">
        <f>RANK(I48,$I$2:$I$245)</f>
        <v>34</v>
      </c>
      <c r="K48">
        <v>7.34</v>
      </c>
      <c r="L48">
        <v>11.6555858310627</v>
      </c>
      <c r="M48">
        <f>RANK(L48,$L$2:$L$245)</f>
        <v>54</v>
      </c>
      <c r="N48" s="2">
        <f>I48*EXP(-0.1*K48)</f>
        <v>41.06369419541069</v>
      </c>
      <c r="O48" s="2">
        <f>RANK(N48,$N$2:$N$245)</f>
        <v>47</v>
      </c>
    </row>
    <row r="49" spans="1:15" x14ac:dyDescent="0.2">
      <c r="A49" t="s">
        <v>16</v>
      </c>
      <c r="B49" t="s">
        <v>25</v>
      </c>
      <c r="C49">
        <v>1</v>
      </c>
      <c r="D49">
        <v>50</v>
      </c>
      <c r="E49">
        <v>0</v>
      </c>
      <c r="F49">
        <v>0</v>
      </c>
      <c r="G49" t="s">
        <v>23</v>
      </c>
      <c r="H49" t="s">
        <v>19</v>
      </c>
      <c r="I49">
        <v>84.176000000000002</v>
      </c>
      <c r="J49" s="2">
        <f>RANK(I49,$I$2:$I$245)</f>
        <v>35</v>
      </c>
      <c r="K49">
        <v>7.42</v>
      </c>
      <c r="L49">
        <v>11.344474393531</v>
      </c>
      <c r="M49">
        <f>RANK(L49,$L$2:$L$245)</f>
        <v>56</v>
      </c>
      <c r="N49" s="2">
        <f>I49*EXP(-0.1*K49)</f>
        <v>40.08129814055274</v>
      </c>
      <c r="O49" s="2">
        <f>RANK(N49,$N$2:$N$245)</f>
        <v>48</v>
      </c>
    </row>
    <row r="50" spans="1:15" x14ac:dyDescent="0.2">
      <c r="A50" t="s">
        <v>16</v>
      </c>
      <c r="B50" t="s">
        <v>24</v>
      </c>
      <c r="C50">
        <v>2</v>
      </c>
      <c r="D50">
        <v>100</v>
      </c>
      <c r="E50">
        <v>0</v>
      </c>
      <c r="F50">
        <v>0</v>
      </c>
      <c r="G50" t="s">
        <v>23</v>
      </c>
      <c r="H50" t="s">
        <v>19</v>
      </c>
      <c r="I50">
        <v>74.819999999999993</v>
      </c>
      <c r="J50">
        <f>RANK(I50,$I$2:$I$245)</f>
        <v>74</v>
      </c>
      <c r="K50">
        <v>6.28</v>
      </c>
      <c r="L50">
        <v>11.914012738853501</v>
      </c>
      <c r="M50">
        <f>RANK(L50,$L$2:$L$245)</f>
        <v>53</v>
      </c>
      <c r="N50" s="2">
        <f>I50*EXP(-0.1*K50)</f>
        <v>39.928295338633745</v>
      </c>
      <c r="O50" s="2">
        <f>RANK(N50,$N$2:$N$245)</f>
        <v>49</v>
      </c>
    </row>
    <row r="51" spans="1:15" x14ac:dyDescent="0.2">
      <c r="A51" t="s">
        <v>16</v>
      </c>
      <c r="B51" t="s">
        <v>24</v>
      </c>
      <c r="C51">
        <v>5</v>
      </c>
      <c r="D51">
        <v>75</v>
      </c>
      <c r="E51">
        <v>0</v>
      </c>
      <c r="F51">
        <v>0</v>
      </c>
      <c r="G51" t="s">
        <v>18</v>
      </c>
      <c r="H51" t="s">
        <v>22</v>
      </c>
      <c r="I51">
        <v>64</v>
      </c>
      <c r="J51">
        <f>RANK(I51,$I$2:$I$245)</f>
        <v>97</v>
      </c>
      <c r="K51">
        <v>4.72</v>
      </c>
      <c r="L51">
        <v>13.559322033898299</v>
      </c>
      <c r="M51">
        <f>RANK(L51,$L$2:$L$245)</f>
        <v>44</v>
      </c>
      <c r="N51" s="2">
        <f>I51*EXP(-0.1*K51)</f>
        <v>39.920224826736138</v>
      </c>
      <c r="O51" s="2">
        <f>RANK(N51,$N$2:$N$245)</f>
        <v>50</v>
      </c>
    </row>
    <row r="52" spans="1:15" x14ac:dyDescent="0.2">
      <c r="A52" t="s">
        <v>16</v>
      </c>
      <c r="B52" t="s">
        <v>24</v>
      </c>
      <c r="C52">
        <v>2</v>
      </c>
      <c r="D52">
        <v>25</v>
      </c>
      <c r="E52">
        <v>0</v>
      </c>
      <c r="F52">
        <v>0</v>
      </c>
      <c r="G52" t="s">
        <v>18</v>
      </c>
      <c r="H52" t="s">
        <v>22</v>
      </c>
      <c r="I52">
        <v>62</v>
      </c>
      <c r="J52">
        <f>RANK(I52,$I$2:$I$245)</f>
        <v>103</v>
      </c>
      <c r="K52">
        <v>4.46</v>
      </c>
      <c r="L52">
        <v>13.901345291479799</v>
      </c>
      <c r="M52">
        <f>RANK(L52,$L$2:$L$245)</f>
        <v>43</v>
      </c>
      <c r="N52" s="2">
        <f>I52*EXP(-0.1*K52)</f>
        <v>39.691393867822121</v>
      </c>
      <c r="O52" s="2">
        <f>RANK(N52,$N$2:$N$245)</f>
        <v>51</v>
      </c>
    </row>
    <row r="53" spans="1:15" x14ac:dyDescent="0.2">
      <c r="A53" t="s">
        <v>16</v>
      </c>
      <c r="B53" t="s">
        <v>25</v>
      </c>
      <c r="C53">
        <v>1</v>
      </c>
      <c r="D53">
        <v>75</v>
      </c>
      <c r="E53">
        <v>0</v>
      </c>
      <c r="F53">
        <v>0</v>
      </c>
      <c r="G53" t="s">
        <v>23</v>
      </c>
      <c r="H53" t="s">
        <v>22</v>
      </c>
      <c r="I53">
        <v>88</v>
      </c>
      <c r="J53" s="3">
        <f>RANK(I53,$I$2:$I$245)</f>
        <v>18</v>
      </c>
      <c r="K53">
        <v>8.06</v>
      </c>
      <c r="L53">
        <v>10.918114143920601</v>
      </c>
      <c r="M53">
        <f>RANK(L53,$L$2:$L$245)</f>
        <v>57</v>
      </c>
      <c r="N53" s="2">
        <f>I53*EXP(-0.1*K53)</f>
        <v>39.304413464999264</v>
      </c>
      <c r="O53" s="2">
        <f>RANK(N53,$N$2:$N$245)</f>
        <v>52</v>
      </c>
    </row>
    <row r="54" spans="1:15" x14ac:dyDescent="0.2">
      <c r="A54" t="s">
        <v>16</v>
      </c>
      <c r="B54" t="s">
        <v>25</v>
      </c>
      <c r="C54">
        <v>5</v>
      </c>
      <c r="D54">
        <v>75</v>
      </c>
      <c r="E54">
        <v>0</v>
      </c>
      <c r="F54">
        <v>0</v>
      </c>
      <c r="G54" t="s">
        <v>18</v>
      </c>
      <c r="H54" t="s">
        <v>22</v>
      </c>
      <c r="I54">
        <v>68</v>
      </c>
      <c r="J54" s="2">
        <f>RANK(I54,$I$2:$I$245)</f>
        <v>92</v>
      </c>
      <c r="K54">
        <v>5.52</v>
      </c>
      <c r="L54">
        <v>12.3188405797101</v>
      </c>
      <c r="M54">
        <f>RANK(L54,$L$2:$L$245)</f>
        <v>51</v>
      </c>
      <c r="N54" s="2">
        <f>I54*EXP(-0.1*K54)</f>
        <v>39.15420034455159</v>
      </c>
      <c r="O54" s="2">
        <f>RANK(N54,$N$2:$N$245)</f>
        <v>53</v>
      </c>
    </row>
    <row r="55" spans="1:15" x14ac:dyDescent="0.2">
      <c r="A55" t="s">
        <v>16</v>
      </c>
      <c r="B55" t="s">
        <v>24</v>
      </c>
      <c r="C55">
        <v>1</v>
      </c>
      <c r="D55">
        <v>37</v>
      </c>
      <c r="E55">
        <v>1</v>
      </c>
      <c r="F55">
        <v>37</v>
      </c>
      <c r="G55" t="s">
        <v>18</v>
      </c>
      <c r="H55" t="s">
        <v>19</v>
      </c>
      <c r="I55">
        <v>86.132000000000005</v>
      </c>
      <c r="J55" s="2">
        <f>RANK(I55,$I$2:$I$245)</f>
        <v>27</v>
      </c>
      <c r="K55">
        <v>8.06</v>
      </c>
      <c r="L55">
        <v>10.6863523573201</v>
      </c>
      <c r="M55">
        <f>RANK(L55,$L$2:$L$245)</f>
        <v>59</v>
      </c>
      <c r="N55" s="2">
        <f>I55*EXP(-0.1*K55)</f>
        <v>38.470087960992231</v>
      </c>
      <c r="O55" s="2">
        <f>RANK(N55,$N$2:$N$245)</f>
        <v>54</v>
      </c>
    </row>
    <row r="56" spans="1:15" x14ac:dyDescent="0.2">
      <c r="A56" t="s">
        <v>16</v>
      </c>
      <c r="B56" t="s">
        <v>24</v>
      </c>
      <c r="C56">
        <v>1</v>
      </c>
      <c r="D56">
        <v>50</v>
      </c>
      <c r="E56">
        <v>1</v>
      </c>
      <c r="F56">
        <v>50</v>
      </c>
      <c r="G56" t="s">
        <v>18</v>
      </c>
      <c r="H56" t="s">
        <v>19</v>
      </c>
      <c r="I56">
        <v>88.483999999999995</v>
      </c>
      <c r="J56" s="3">
        <f>RANK(I56,$I$2:$I$245)</f>
        <v>17</v>
      </c>
      <c r="K56">
        <v>8.42</v>
      </c>
      <c r="L56">
        <v>10.5087885985748</v>
      </c>
      <c r="M56">
        <f>RANK(L56,$L$2:$L$245)</f>
        <v>62</v>
      </c>
      <c r="N56" s="2">
        <f>I56*EXP(-0.1*K56)</f>
        <v>38.123151355229218</v>
      </c>
      <c r="O56" s="2">
        <f>RANK(N56,$N$2:$N$245)</f>
        <v>55</v>
      </c>
    </row>
    <row r="57" spans="1:15" x14ac:dyDescent="0.2">
      <c r="A57" t="s">
        <v>16</v>
      </c>
      <c r="B57" t="s">
        <v>24</v>
      </c>
      <c r="C57">
        <v>1</v>
      </c>
      <c r="D57">
        <v>25</v>
      </c>
      <c r="E57">
        <v>1</v>
      </c>
      <c r="F57">
        <v>25</v>
      </c>
      <c r="G57" t="s">
        <v>18</v>
      </c>
      <c r="H57" t="s">
        <v>19</v>
      </c>
      <c r="I57">
        <v>82.296000000000006</v>
      </c>
      <c r="J57">
        <f>RANK(I57,$I$2:$I$245)</f>
        <v>43</v>
      </c>
      <c r="K57">
        <v>7.94</v>
      </c>
      <c r="L57">
        <v>10.3647355163728</v>
      </c>
      <c r="M57">
        <f>RANK(L57,$L$2:$L$245)</f>
        <v>63</v>
      </c>
      <c r="N57" s="2">
        <f>I57*EXP(-0.1*K57)</f>
        <v>37.200511226358934</v>
      </c>
      <c r="O57" s="2">
        <f>RANK(N57,$N$2:$N$245)</f>
        <v>56</v>
      </c>
    </row>
    <row r="58" spans="1:15" x14ac:dyDescent="0.2">
      <c r="A58" t="s">
        <v>16</v>
      </c>
      <c r="B58" t="s">
        <v>24</v>
      </c>
      <c r="C58">
        <v>5</v>
      </c>
      <c r="D58">
        <v>25</v>
      </c>
      <c r="E58">
        <v>0</v>
      </c>
      <c r="F58">
        <v>0</v>
      </c>
      <c r="G58" t="s">
        <v>18</v>
      </c>
      <c r="H58" t="s">
        <v>19</v>
      </c>
      <c r="I58">
        <v>48.143999999999998</v>
      </c>
      <c r="J58" s="2">
        <f>RANK(I58,$I$2:$I$245)</f>
        <v>123</v>
      </c>
      <c r="K58">
        <v>2.62</v>
      </c>
      <c r="L58">
        <v>18.375572519083999</v>
      </c>
      <c r="M58">
        <f>RANK(L58,$L$2:$L$245)</f>
        <v>11</v>
      </c>
      <c r="N58" s="2">
        <f>I58*EXP(-0.1*K58)</f>
        <v>37.047338725377529</v>
      </c>
      <c r="O58" s="2">
        <f>RANK(N58,$N$2:$N$245)</f>
        <v>57</v>
      </c>
    </row>
    <row r="59" spans="1:15" x14ac:dyDescent="0.2">
      <c r="A59" t="s">
        <v>16</v>
      </c>
      <c r="B59" t="s">
        <v>24</v>
      </c>
      <c r="C59">
        <v>1</v>
      </c>
      <c r="D59">
        <v>12</v>
      </c>
      <c r="E59">
        <v>1</v>
      </c>
      <c r="F59">
        <v>12</v>
      </c>
      <c r="G59" t="s">
        <v>18</v>
      </c>
      <c r="H59" t="s">
        <v>19</v>
      </c>
      <c r="I59">
        <v>71.3</v>
      </c>
      <c r="J59" s="2">
        <f>RANK(I59,$I$2:$I$245)</f>
        <v>81</v>
      </c>
      <c r="K59">
        <v>6.6</v>
      </c>
      <c r="L59">
        <v>10.803030303030299</v>
      </c>
      <c r="M59">
        <f>RANK(L59,$L$2:$L$245)</f>
        <v>58</v>
      </c>
      <c r="N59" s="2">
        <f>I59*EXP(-0.1*K59)</f>
        <v>36.85150014925815</v>
      </c>
      <c r="O59" s="2">
        <f>RANK(N59,$N$2:$N$245)</f>
        <v>58</v>
      </c>
    </row>
    <row r="60" spans="1:15" x14ac:dyDescent="0.2">
      <c r="A60" t="s">
        <v>16</v>
      </c>
      <c r="B60" t="s">
        <v>24</v>
      </c>
      <c r="C60">
        <v>2</v>
      </c>
      <c r="D60">
        <v>25</v>
      </c>
      <c r="E60">
        <v>2</v>
      </c>
      <c r="F60">
        <v>25</v>
      </c>
      <c r="G60" t="s">
        <v>18</v>
      </c>
      <c r="H60" t="s">
        <v>19</v>
      </c>
      <c r="I60">
        <v>72.156000000000006</v>
      </c>
      <c r="J60" s="2">
        <f>RANK(I60,$I$2:$I$245)</f>
        <v>78</v>
      </c>
      <c r="K60">
        <v>6.78</v>
      </c>
      <c r="L60">
        <v>10.6424778761062</v>
      </c>
      <c r="M60">
        <f>RANK(L60,$L$2:$L$245)</f>
        <v>61</v>
      </c>
      <c r="N60" s="2">
        <f>I60*EXP(-0.1*K60)</f>
        <v>36.628639772210143</v>
      </c>
      <c r="O60" s="2">
        <f>RANK(N60,$N$2:$N$245)</f>
        <v>59</v>
      </c>
    </row>
    <row r="61" spans="1:15" x14ac:dyDescent="0.2">
      <c r="A61" t="s">
        <v>16</v>
      </c>
      <c r="B61" t="s">
        <v>24</v>
      </c>
      <c r="C61">
        <v>2</v>
      </c>
      <c r="D61">
        <v>37</v>
      </c>
      <c r="E61">
        <v>2</v>
      </c>
      <c r="F61">
        <v>37</v>
      </c>
      <c r="G61" t="s">
        <v>18</v>
      </c>
      <c r="H61" t="s">
        <v>19</v>
      </c>
      <c r="I61">
        <v>78.38</v>
      </c>
      <c r="J61" s="2">
        <f>RANK(I61,$I$2:$I$245)</f>
        <v>61</v>
      </c>
      <c r="K61">
        <v>7.66</v>
      </c>
      <c r="L61">
        <v>10.2323759791123</v>
      </c>
      <c r="M61">
        <f>RANK(L61,$L$2:$L$245)</f>
        <v>64</v>
      </c>
      <c r="N61" s="2">
        <f>I61*EXP(-0.1*K61)</f>
        <v>36.436418866616371</v>
      </c>
      <c r="O61" s="2">
        <f>RANK(N61,$N$2:$N$245)</f>
        <v>60</v>
      </c>
    </row>
    <row r="62" spans="1:15" x14ac:dyDescent="0.2">
      <c r="A62" t="s">
        <v>16</v>
      </c>
      <c r="B62" t="s">
        <v>24</v>
      </c>
      <c r="C62">
        <v>2</v>
      </c>
      <c r="D62">
        <v>75</v>
      </c>
      <c r="E62">
        <v>0</v>
      </c>
      <c r="F62">
        <v>0</v>
      </c>
      <c r="G62" t="s">
        <v>23</v>
      </c>
      <c r="H62" t="s">
        <v>19</v>
      </c>
      <c r="I62">
        <v>70.912000000000006</v>
      </c>
      <c r="J62">
        <f>RANK(I62,$I$2:$I$245)</f>
        <v>84</v>
      </c>
      <c r="K62">
        <v>6.66</v>
      </c>
      <c r="L62">
        <v>10.6474474474474</v>
      </c>
      <c r="M62">
        <f>RANK(L62,$L$2:$L$245)</f>
        <v>60</v>
      </c>
      <c r="N62" s="2">
        <f>I62*EXP(-0.1*K62)</f>
        <v>36.431714460341645</v>
      </c>
      <c r="O62" s="2">
        <f>RANK(N62,$N$2:$N$245)</f>
        <v>61</v>
      </c>
    </row>
    <row r="63" spans="1:15" x14ac:dyDescent="0.2">
      <c r="A63" t="s">
        <v>16</v>
      </c>
      <c r="B63" t="s">
        <v>24</v>
      </c>
      <c r="C63">
        <v>2</v>
      </c>
      <c r="D63">
        <v>50</v>
      </c>
      <c r="E63">
        <v>2</v>
      </c>
      <c r="F63">
        <v>50</v>
      </c>
      <c r="G63" t="s">
        <v>18</v>
      </c>
      <c r="H63" t="s">
        <v>19</v>
      </c>
      <c r="I63">
        <v>82.36</v>
      </c>
      <c r="J63" s="2">
        <f>RANK(I63,$I$2:$I$245)</f>
        <v>42</v>
      </c>
      <c r="K63">
        <v>8.18</v>
      </c>
      <c r="L63">
        <v>10.0684596577017</v>
      </c>
      <c r="M63">
        <f>RANK(L63,$L$2:$L$245)</f>
        <v>66</v>
      </c>
      <c r="N63" s="2">
        <f>I63*EXP(-0.1*K63)</f>
        <v>36.34657156353591</v>
      </c>
      <c r="O63" s="2">
        <f>RANK(N63,$N$2:$N$245)</f>
        <v>62</v>
      </c>
    </row>
    <row r="64" spans="1:15" x14ac:dyDescent="0.2">
      <c r="A64" t="s">
        <v>16</v>
      </c>
      <c r="B64" t="s">
        <v>24</v>
      </c>
      <c r="C64">
        <v>1</v>
      </c>
      <c r="D64">
        <v>50</v>
      </c>
      <c r="E64">
        <v>0</v>
      </c>
      <c r="F64">
        <v>0</v>
      </c>
      <c r="G64" t="s">
        <v>23</v>
      </c>
      <c r="H64" t="s">
        <v>22</v>
      </c>
      <c r="I64">
        <v>80</v>
      </c>
      <c r="J64" s="2">
        <f>RANK(I64,$I$2:$I$245)</f>
        <v>55</v>
      </c>
      <c r="K64">
        <v>7.96</v>
      </c>
      <c r="L64">
        <v>10.050251256281401</v>
      </c>
      <c r="M64">
        <f>RANK(L64,$L$2:$L$245)</f>
        <v>67</v>
      </c>
      <c r="N64" s="2">
        <f>I64*EXP(-0.1*K64)</f>
        <v>36.090390352243389</v>
      </c>
      <c r="O64" s="2">
        <f>RANK(N64,$N$2:$N$245)</f>
        <v>63</v>
      </c>
    </row>
    <row r="65" spans="1:15" x14ac:dyDescent="0.2">
      <c r="A65" t="s">
        <v>16</v>
      </c>
      <c r="B65" t="s">
        <v>25</v>
      </c>
      <c r="C65">
        <v>2</v>
      </c>
      <c r="D65">
        <v>75</v>
      </c>
      <c r="E65">
        <v>0</v>
      </c>
      <c r="F65">
        <v>0</v>
      </c>
      <c r="G65" t="s">
        <v>23</v>
      </c>
      <c r="H65" t="s">
        <v>19</v>
      </c>
      <c r="I65">
        <v>78.88</v>
      </c>
      <c r="J65" s="2">
        <f>RANK(I65,$I$2:$I$245)</f>
        <v>60</v>
      </c>
      <c r="K65">
        <v>7.9</v>
      </c>
      <c r="L65">
        <v>9.9848101265822802</v>
      </c>
      <c r="M65">
        <f>RANK(L65,$L$2:$L$245)</f>
        <v>68</v>
      </c>
      <c r="N65" s="2">
        <f>I65*EXP(-0.1*K65)</f>
        <v>35.799277451872229</v>
      </c>
      <c r="O65" s="2">
        <f>RANK(N65,$N$2:$N$245)</f>
        <v>64</v>
      </c>
    </row>
    <row r="66" spans="1:15" x14ac:dyDescent="0.2">
      <c r="A66" t="s">
        <v>16</v>
      </c>
      <c r="B66" t="s">
        <v>25</v>
      </c>
      <c r="C66">
        <v>5</v>
      </c>
      <c r="D66">
        <v>25</v>
      </c>
      <c r="E66">
        <v>0</v>
      </c>
      <c r="F66">
        <v>0</v>
      </c>
      <c r="G66" t="s">
        <v>18</v>
      </c>
      <c r="H66" t="s">
        <v>19</v>
      </c>
      <c r="I66">
        <v>46.844000000000001</v>
      </c>
      <c r="J66">
        <f>RANK(I66,$I$2:$I$245)</f>
        <v>127</v>
      </c>
      <c r="K66">
        <v>2.84</v>
      </c>
      <c r="L66">
        <v>16.494366197183101</v>
      </c>
      <c r="M66">
        <f>RANK(L66,$L$2:$L$245)</f>
        <v>29</v>
      </c>
      <c r="N66" s="2">
        <f>I66*EXP(-0.1*K66)</f>
        <v>35.262600704617057</v>
      </c>
      <c r="O66" s="2">
        <f>RANK(N66,$N$2:$N$245)</f>
        <v>65</v>
      </c>
    </row>
    <row r="67" spans="1:15" x14ac:dyDescent="0.2">
      <c r="A67" t="s">
        <v>16</v>
      </c>
      <c r="B67" t="s">
        <v>24</v>
      </c>
      <c r="C67">
        <v>1</v>
      </c>
      <c r="D67">
        <v>50</v>
      </c>
      <c r="E67">
        <v>1</v>
      </c>
      <c r="F67">
        <v>50</v>
      </c>
      <c r="G67" t="s">
        <v>18</v>
      </c>
      <c r="H67" t="s">
        <v>22</v>
      </c>
      <c r="I67">
        <v>88</v>
      </c>
      <c r="J67" s="3">
        <f>RANK(I67,$I$2:$I$245)</f>
        <v>18</v>
      </c>
      <c r="K67">
        <v>9.1999999999999993</v>
      </c>
      <c r="L67">
        <v>9.5652173913043494</v>
      </c>
      <c r="M67">
        <f>RANK(L67,$L$2:$L$245)</f>
        <v>72</v>
      </c>
      <c r="N67" s="2">
        <f>I67*EXP(-0.1*K67)</f>
        <v>35.069675615437248</v>
      </c>
      <c r="O67" s="2">
        <f>RANK(N67,$N$2:$N$245)</f>
        <v>66</v>
      </c>
    </row>
    <row r="68" spans="1:15" x14ac:dyDescent="0.2">
      <c r="A68" t="s">
        <v>16</v>
      </c>
      <c r="B68" t="s">
        <v>24</v>
      </c>
      <c r="C68">
        <v>5</v>
      </c>
      <c r="D68">
        <v>50</v>
      </c>
      <c r="E68">
        <v>0</v>
      </c>
      <c r="F68">
        <v>0</v>
      </c>
      <c r="G68" t="s">
        <v>18</v>
      </c>
      <c r="H68" t="s">
        <v>22</v>
      </c>
      <c r="I68">
        <v>54</v>
      </c>
      <c r="J68" s="2">
        <f>RANK(I68,$I$2:$I$245)</f>
        <v>116</v>
      </c>
      <c r="K68">
        <v>4.3600000000000003</v>
      </c>
      <c r="L68">
        <v>12.3853211009174</v>
      </c>
      <c r="M68">
        <f>RANK(L68,$L$2:$L$245)</f>
        <v>50</v>
      </c>
      <c r="N68" s="2">
        <f>I68*EXP(-0.1*K68)</f>
        <v>34.917357200513742</v>
      </c>
      <c r="O68" s="2">
        <f>RANK(N68,$N$2:$N$245)</f>
        <v>67</v>
      </c>
    </row>
    <row r="69" spans="1:15" x14ac:dyDescent="0.2">
      <c r="A69" t="s">
        <v>16</v>
      </c>
      <c r="B69" t="s">
        <v>25</v>
      </c>
      <c r="C69">
        <v>2</v>
      </c>
      <c r="D69">
        <v>25</v>
      </c>
      <c r="E69">
        <v>0</v>
      </c>
      <c r="F69">
        <v>0</v>
      </c>
      <c r="G69" t="s">
        <v>18</v>
      </c>
      <c r="H69" t="s">
        <v>22</v>
      </c>
      <c r="I69">
        <v>58</v>
      </c>
      <c r="J69">
        <f>RANK(I69,$I$2:$I$245)</f>
        <v>110</v>
      </c>
      <c r="K69">
        <v>5.0999999999999996</v>
      </c>
      <c r="L69">
        <v>11.372549019607799</v>
      </c>
      <c r="M69">
        <f>RANK(L69,$L$2:$L$245)</f>
        <v>55</v>
      </c>
      <c r="N69" s="2">
        <f>I69*EXP(-0.1*K69)</f>
        <v>34.828743571111424</v>
      </c>
      <c r="O69" s="2">
        <f>RANK(N69,$N$2:$N$245)</f>
        <v>68</v>
      </c>
    </row>
    <row r="70" spans="1:15" x14ac:dyDescent="0.2">
      <c r="A70" t="s">
        <v>16</v>
      </c>
      <c r="B70" t="s">
        <v>25</v>
      </c>
      <c r="C70">
        <v>1</v>
      </c>
      <c r="D70">
        <v>50</v>
      </c>
      <c r="E70">
        <v>1</v>
      </c>
      <c r="F70">
        <v>50</v>
      </c>
      <c r="G70" t="s">
        <v>18</v>
      </c>
      <c r="H70" t="s">
        <v>19</v>
      </c>
      <c r="I70">
        <v>89.947999999999993</v>
      </c>
      <c r="J70" s="3">
        <f>RANK(I70,$I$2:$I$245)</f>
        <v>13</v>
      </c>
      <c r="K70">
        <v>9.5399999999999991</v>
      </c>
      <c r="L70">
        <v>9.4285115303983194</v>
      </c>
      <c r="M70">
        <f>RANK(L70,$L$2:$L$245)</f>
        <v>77</v>
      </c>
      <c r="N70" s="2">
        <f>I70*EXP(-0.1*K70)</f>
        <v>34.647713173341245</v>
      </c>
      <c r="O70" s="2">
        <f>RANK(N70,$N$2:$N$245)</f>
        <v>69</v>
      </c>
    </row>
    <row r="71" spans="1:15" x14ac:dyDescent="0.2">
      <c r="A71" t="s">
        <v>16</v>
      </c>
      <c r="B71" t="s">
        <v>25</v>
      </c>
      <c r="C71">
        <v>2</v>
      </c>
      <c r="D71">
        <v>37</v>
      </c>
      <c r="E71">
        <v>2</v>
      </c>
      <c r="F71">
        <v>37</v>
      </c>
      <c r="G71" t="s">
        <v>18</v>
      </c>
      <c r="H71" t="s">
        <v>19</v>
      </c>
      <c r="I71">
        <v>77.900000000000006</v>
      </c>
      <c r="J71" s="2">
        <f>RANK(I71,$I$2:$I$245)</f>
        <v>68</v>
      </c>
      <c r="K71">
        <v>8.18</v>
      </c>
      <c r="L71">
        <v>9.5232273838630803</v>
      </c>
      <c r="M71">
        <f>RANK(L71,$L$2:$L$245)</f>
        <v>76</v>
      </c>
      <c r="N71" s="2">
        <f>I71*EXP(-0.1*K71)</f>
        <v>34.378313802810197</v>
      </c>
      <c r="O71" s="2">
        <f>RANK(N71,$N$2:$N$245)</f>
        <v>70</v>
      </c>
    </row>
    <row r="72" spans="1:15" x14ac:dyDescent="0.2">
      <c r="A72" t="s">
        <v>16</v>
      </c>
      <c r="B72" t="s">
        <v>25</v>
      </c>
      <c r="C72">
        <v>2</v>
      </c>
      <c r="D72">
        <v>50</v>
      </c>
      <c r="E72">
        <v>2</v>
      </c>
      <c r="F72">
        <v>50</v>
      </c>
      <c r="G72" t="s">
        <v>18</v>
      </c>
      <c r="H72" t="s">
        <v>19</v>
      </c>
      <c r="I72">
        <v>82.087999999999994</v>
      </c>
      <c r="J72" s="2">
        <f>RANK(I72,$I$2:$I$245)</f>
        <v>44</v>
      </c>
      <c r="K72">
        <v>8.74</v>
      </c>
      <c r="L72">
        <v>9.3922196796338699</v>
      </c>
      <c r="M72">
        <f>RANK(L72,$L$2:$L$245)</f>
        <v>78</v>
      </c>
      <c r="N72" s="2">
        <f>I72*EXP(-0.1*K72)</f>
        <v>34.253605956230153</v>
      </c>
      <c r="O72" s="2">
        <f>RANK(N72,$N$2:$N$245)</f>
        <v>71</v>
      </c>
    </row>
    <row r="73" spans="1:15" x14ac:dyDescent="0.2">
      <c r="A73" t="s">
        <v>16</v>
      </c>
      <c r="B73" t="s">
        <v>25</v>
      </c>
      <c r="C73">
        <v>1</v>
      </c>
      <c r="D73">
        <v>37</v>
      </c>
      <c r="E73">
        <v>1</v>
      </c>
      <c r="F73">
        <v>37</v>
      </c>
      <c r="G73" t="s">
        <v>18</v>
      </c>
      <c r="H73" t="s">
        <v>19</v>
      </c>
      <c r="I73">
        <v>86.676000000000002</v>
      </c>
      <c r="J73" s="2">
        <f>RANK(I73,$I$2:$I$245)</f>
        <v>25</v>
      </c>
      <c r="K73">
        <v>9.3000000000000007</v>
      </c>
      <c r="L73">
        <v>9.32</v>
      </c>
      <c r="M73">
        <f>RANK(L73,$L$2:$L$245)</f>
        <v>81</v>
      </c>
      <c r="N73" s="2">
        <f>I73*EXP(-0.1*K73)</f>
        <v>34.198337400168896</v>
      </c>
      <c r="O73" s="2">
        <f>RANK(N73,$N$2:$N$245)</f>
        <v>72</v>
      </c>
    </row>
    <row r="74" spans="1:15" x14ac:dyDescent="0.2">
      <c r="A74" t="s">
        <v>16</v>
      </c>
      <c r="B74" t="s">
        <v>24</v>
      </c>
      <c r="C74">
        <v>5</v>
      </c>
      <c r="D74">
        <v>50</v>
      </c>
      <c r="E74">
        <v>5</v>
      </c>
      <c r="F74">
        <v>50</v>
      </c>
      <c r="G74" t="s">
        <v>18</v>
      </c>
      <c r="H74" t="s">
        <v>19</v>
      </c>
      <c r="I74">
        <v>66.772000000000006</v>
      </c>
      <c r="J74" s="2">
        <f>RANK(I74,$I$2:$I$245)</f>
        <v>94</v>
      </c>
      <c r="K74">
        <v>6.8</v>
      </c>
      <c r="L74">
        <v>9.8194117647058796</v>
      </c>
      <c r="M74">
        <f>RANK(L74,$L$2:$L$245)</f>
        <v>71</v>
      </c>
      <c r="N74" s="2">
        <f>I74*EXP(-0.1*K74)</f>
        <v>33.827829814235145</v>
      </c>
      <c r="O74" s="2">
        <f>RANK(N74,$N$2:$N$245)</f>
        <v>73</v>
      </c>
    </row>
    <row r="75" spans="1:15" x14ac:dyDescent="0.2">
      <c r="A75" t="s">
        <v>16</v>
      </c>
      <c r="B75" t="s">
        <v>24</v>
      </c>
      <c r="C75">
        <v>2</v>
      </c>
      <c r="D75">
        <v>100</v>
      </c>
      <c r="E75">
        <v>0</v>
      </c>
      <c r="F75">
        <v>0</v>
      </c>
      <c r="G75" t="s">
        <v>23</v>
      </c>
      <c r="H75" t="s">
        <v>22</v>
      </c>
      <c r="I75">
        <v>72</v>
      </c>
      <c r="J75" s="2">
        <f>RANK(I75,$I$2:$I$245)</f>
        <v>79</v>
      </c>
      <c r="K75">
        <v>7.56</v>
      </c>
      <c r="L75">
        <v>9.5238095238095202</v>
      </c>
      <c r="M75">
        <f>RANK(L75,$L$2:$L$245)</f>
        <v>75</v>
      </c>
      <c r="N75" s="2">
        <f>I75*EXP(-0.1*K75)</f>
        <v>33.806940411081548</v>
      </c>
      <c r="O75" s="2">
        <f>RANK(N75,$N$2:$N$245)</f>
        <v>74</v>
      </c>
    </row>
    <row r="76" spans="1:15" x14ac:dyDescent="0.2">
      <c r="A76" t="s">
        <v>16</v>
      </c>
      <c r="B76" t="s">
        <v>24</v>
      </c>
      <c r="C76">
        <v>1</v>
      </c>
      <c r="D76">
        <v>37</v>
      </c>
      <c r="E76">
        <v>1</v>
      </c>
      <c r="F76">
        <v>37</v>
      </c>
      <c r="G76" t="s">
        <v>18</v>
      </c>
      <c r="H76" t="s">
        <v>22</v>
      </c>
      <c r="I76">
        <v>84</v>
      </c>
      <c r="J76">
        <f>RANK(I76,$I$2:$I$245)</f>
        <v>36</v>
      </c>
      <c r="K76">
        <v>9.16</v>
      </c>
      <c r="L76">
        <v>9.1703056768558895</v>
      </c>
      <c r="M76">
        <f>RANK(L76,$L$2:$L$245)</f>
        <v>82</v>
      </c>
      <c r="N76" s="2">
        <f>I76*EXP(-0.1*K76)</f>
        <v>33.609770011129619</v>
      </c>
      <c r="O76" s="2">
        <f>RANK(N76,$N$2:$N$245)</f>
        <v>75</v>
      </c>
    </row>
    <row r="77" spans="1:15" x14ac:dyDescent="0.2">
      <c r="A77" t="s">
        <v>16</v>
      </c>
      <c r="B77" t="s">
        <v>25</v>
      </c>
      <c r="C77">
        <v>1</v>
      </c>
      <c r="D77">
        <v>12</v>
      </c>
      <c r="E77">
        <v>1</v>
      </c>
      <c r="F77">
        <v>12</v>
      </c>
      <c r="G77" t="s">
        <v>18</v>
      </c>
      <c r="H77" t="s">
        <v>19</v>
      </c>
      <c r="I77">
        <v>68.608000000000004</v>
      </c>
      <c r="J77" s="2">
        <f>RANK(I77,$I$2:$I$245)</f>
        <v>91</v>
      </c>
      <c r="K77">
        <v>7.2</v>
      </c>
      <c r="L77">
        <v>9.5288888888888899</v>
      </c>
      <c r="M77">
        <f>RANK(L77,$L$2:$L$245)</f>
        <v>74</v>
      </c>
      <c r="N77" s="2">
        <f>I77*EXP(-0.1*K77)</f>
        <v>33.395098776901733</v>
      </c>
      <c r="O77" s="2">
        <f>RANK(N77,$N$2:$N$245)</f>
        <v>76</v>
      </c>
    </row>
    <row r="78" spans="1:15" x14ac:dyDescent="0.2">
      <c r="A78" t="s">
        <v>16</v>
      </c>
      <c r="B78" t="s">
        <v>25</v>
      </c>
      <c r="C78">
        <v>1</v>
      </c>
      <c r="D78">
        <v>25</v>
      </c>
      <c r="E78">
        <v>1</v>
      </c>
      <c r="F78">
        <v>25</v>
      </c>
      <c r="G78" t="s">
        <v>18</v>
      </c>
      <c r="H78" t="s">
        <v>19</v>
      </c>
      <c r="I78">
        <v>81.876000000000005</v>
      </c>
      <c r="J78" s="2">
        <f>RANK(I78,$I$2:$I$245)</f>
        <v>49</v>
      </c>
      <c r="K78">
        <v>9.02</v>
      </c>
      <c r="L78">
        <v>9.0771618625277206</v>
      </c>
      <c r="M78">
        <f>RANK(L78,$L$2:$L$245)</f>
        <v>83</v>
      </c>
      <c r="N78" s="2">
        <f>I78*EXP(-0.1*K78)</f>
        <v>33.221787398232159</v>
      </c>
      <c r="O78" s="2">
        <f>RANK(N78,$N$2:$N$245)</f>
        <v>77</v>
      </c>
    </row>
    <row r="79" spans="1:15" x14ac:dyDescent="0.2">
      <c r="A79" t="s">
        <v>16</v>
      </c>
      <c r="B79" t="s">
        <v>25</v>
      </c>
      <c r="C79">
        <v>2</v>
      </c>
      <c r="D79">
        <v>25</v>
      </c>
      <c r="E79">
        <v>2</v>
      </c>
      <c r="F79">
        <v>25</v>
      </c>
      <c r="G79" t="s">
        <v>18</v>
      </c>
      <c r="H79" t="s">
        <v>19</v>
      </c>
      <c r="I79">
        <v>70.191999999999993</v>
      </c>
      <c r="J79">
        <f>RANK(I79,$I$2:$I$245)</f>
        <v>85</v>
      </c>
      <c r="K79">
        <v>7.5</v>
      </c>
      <c r="L79">
        <v>9.3589333333333293</v>
      </c>
      <c r="M79">
        <f>RANK(L79,$L$2:$L$245)</f>
        <v>79</v>
      </c>
      <c r="N79" s="2">
        <f>I79*EXP(-0.1*K79)</f>
        <v>33.156353069997301</v>
      </c>
      <c r="O79" s="2">
        <f>RANK(N79,$N$2:$N$245)</f>
        <v>78</v>
      </c>
    </row>
    <row r="80" spans="1:15" x14ac:dyDescent="0.2">
      <c r="A80" t="s">
        <v>16</v>
      </c>
      <c r="B80" t="s">
        <v>25</v>
      </c>
      <c r="C80">
        <v>2</v>
      </c>
      <c r="D80">
        <v>100</v>
      </c>
      <c r="E80">
        <v>0</v>
      </c>
      <c r="F80">
        <v>0</v>
      </c>
      <c r="G80" t="s">
        <v>23</v>
      </c>
      <c r="H80" t="s">
        <v>22</v>
      </c>
      <c r="I80">
        <v>82</v>
      </c>
      <c r="J80">
        <f>RANK(I80,$I$2:$I$245)</f>
        <v>46</v>
      </c>
      <c r="K80">
        <v>9.1</v>
      </c>
      <c r="L80">
        <v>9.0109890109890092</v>
      </c>
      <c r="M80">
        <f>RANK(L80,$L$2:$L$245)</f>
        <v>84</v>
      </c>
      <c r="N80" s="2">
        <f>I80*EXP(-0.1*K80)</f>
        <v>33.006986370758149</v>
      </c>
      <c r="O80" s="2">
        <f>RANK(N80,$N$2:$N$245)</f>
        <v>79</v>
      </c>
    </row>
    <row r="81" spans="1:15" x14ac:dyDescent="0.2">
      <c r="A81" t="s">
        <v>16</v>
      </c>
      <c r="B81" t="s">
        <v>25</v>
      </c>
      <c r="C81">
        <v>5</v>
      </c>
      <c r="D81">
        <v>50</v>
      </c>
      <c r="E81">
        <v>5</v>
      </c>
      <c r="F81">
        <v>50</v>
      </c>
      <c r="G81" t="s">
        <v>18</v>
      </c>
      <c r="H81" t="s">
        <v>19</v>
      </c>
      <c r="I81">
        <v>67.867999999999995</v>
      </c>
      <c r="J81" s="2">
        <f>RANK(I81,$I$2:$I$245)</f>
        <v>93</v>
      </c>
      <c r="K81">
        <v>7.28</v>
      </c>
      <c r="L81">
        <v>9.3225274725274705</v>
      </c>
      <c r="M81">
        <f>RANK(L81,$L$2:$L$245)</f>
        <v>80</v>
      </c>
      <c r="N81" s="2">
        <f>I81*EXP(-0.1*K81)</f>
        <v>32.771677194149497</v>
      </c>
      <c r="O81" s="2">
        <f>RANK(N81,$N$2:$N$245)</f>
        <v>80</v>
      </c>
    </row>
    <row r="82" spans="1:15" x14ac:dyDescent="0.2">
      <c r="A82" t="s">
        <v>16</v>
      </c>
      <c r="B82" t="s">
        <v>24</v>
      </c>
      <c r="C82">
        <v>1</v>
      </c>
      <c r="D82">
        <v>25</v>
      </c>
      <c r="E82">
        <v>1</v>
      </c>
      <c r="F82">
        <v>25</v>
      </c>
      <c r="G82" t="s">
        <v>18</v>
      </c>
      <c r="H82" t="s">
        <v>22</v>
      </c>
      <c r="I82">
        <v>80</v>
      </c>
      <c r="J82">
        <f>RANK(I82,$I$2:$I$245)</f>
        <v>55</v>
      </c>
      <c r="K82">
        <v>8.94</v>
      </c>
      <c r="L82">
        <v>8.9485458612975393</v>
      </c>
      <c r="M82">
        <f>RANK(L82,$L$2:$L$245)</f>
        <v>86</v>
      </c>
      <c r="N82" s="2">
        <f>I82*EXP(-0.1*K82)</f>
        <v>32.721312848912554</v>
      </c>
      <c r="O82" s="2">
        <f>RANK(N82,$N$2:$N$245)</f>
        <v>81</v>
      </c>
    </row>
    <row r="83" spans="1:15" x14ac:dyDescent="0.2">
      <c r="A83" t="s">
        <v>16</v>
      </c>
      <c r="B83" t="s">
        <v>24</v>
      </c>
      <c r="C83">
        <v>5</v>
      </c>
      <c r="D83">
        <v>37</v>
      </c>
      <c r="E83">
        <v>5</v>
      </c>
      <c r="F83">
        <v>37</v>
      </c>
      <c r="G83" t="s">
        <v>18</v>
      </c>
      <c r="H83" t="s">
        <v>19</v>
      </c>
      <c r="I83">
        <v>59.723999999999997</v>
      </c>
      <c r="J83">
        <f>RANK(I83,$I$2:$I$245)</f>
        <v>107</v>
      </c>
      <c r="K83">
        <v>6.06</v>
      </c>
      <c r="L83">
        <v>9.8554455445544509</v>
      </c>
      <c r="M83">
        <f>RANK(L83,$L$2:$L$245)</f>
        <v>69</v>
      </c>
      <c r="N83" s="2">
        <f>I83*EXP(-0.1*K83)</f>
        <v>32.581151609013631</v>
      </c>
      <c r="O83" s="2">
        <f>RANK(N83,$N$2:$N$245)</f>
        <v>82</v>
      </c>
    </row>
    <row r="84" spans="1:15" x14ac:dyDescent="0.2">
      <c r="A84" t="s">
        <v>16</v>
      </c>
      <c r="B84" t="s">
        <v>24</v>
      </c>
      <c r="C84">
        <v>2</v>
      </c>
      <c r="D84">
        <v>12</v>
      </c>
      <c r="E84">
        <v>2</v>
      </c>
      <c r="F84">
        <v>12</v>
      </c>
      <c r="G84" t="s">
        <v>18</v>
      </c>
      <c r="H84" t="s">
        <v>19</v>
      </c>
      <c r="I84">
        <v>55.468000000000004</v>
      </c>
      <c r="J84">
        <f>RANK(I84,$I$2:$I$245)</f>
        <v>115</v>
      </c>
      <c r="K84">
        <v>5.44</v>
      </c>
      <c r="L84">
        <v>10.196323529411799</v>
      </c>
      <c r="M84">
        <f>RANK(L84,$L$2:$L$245)</f>
        <v>65</v>
      </c>
      <c r="N84" s="2">
        <f>I84*EXP(-0.1*K84)</f>
        <v>32.194842789026701</v>
      </c>
      <c r="O84" s="2">
        <f>RANK(N84,$N$2:$N$245)</f>
        <v>83</v>
      </c>
    </row>
    <row r="85" spans="1:15" x14ac:dyDescent="0.2">
      <c r="A85" t="s">
        <v>16</v>
      </c>
      <c r="B85" t="s">
        <v>25</v>
      </c>
      <c r="C85">
        <v>1</v>
      </c>
      <c r="D85">
        <v>50</v>
      </c>
      <c r="E85">
        <v>1</v>
      </c>
      <c r="F85">
        <v>50</v>
      </c>
      <c r="G85" t="s">
        <v>18</v>
      </c>
      <c r="H85" t="s">
        <v>22</v>
      </c>
      <c r="I85">
        <v>88</v>
      </c>
      <c r="J85" s="3">
        <f>RANK(I85,$I$2:$I$245)</f>
        <v>18</v>
      </c>
      <c r="K85">
        <v>10.16</v>
      </c>
      <c r="L85">
        <v>8.6614173228346498</v>
      </c>
      <c r="M85">
        <f>RANK(L85,$L$2:$L$245)</f>
        <v>89</v>
      </c>
      <c r="N85" s="2">
        <f>I85*EXP(-0.1*K85)</f>
        <v>31.859538351826895</v>
      </c>
      <c r="O85" s="2">
        <f>RANK(N85,$N$2:$N$245)</f>
        <v>84</v>
      </c>
    </row>
    <row r="86" spans="1:15" x14ac:dyDescent="0.2">
      <c r="A86" t="s">
        <v>16</v>
      </c>
      <c r="B86" t="s">
        <v>24</v>
      </c>
      <c r="C86">
        <v>2</v>
      </c>
      <c r="D86">
        <v>50</v>
      </c>
      <c r="E86">
        <v>2</v>
      </c>
      <c r="F86">
        <v>50</v>
      </c>
      <c r="G86" t="s">
        <v>18</v>
      </c>
      <c r="H86" t="s">
        <v>22</v>
      </c>
      <c r="I86">
        <v>78</v>
      </c>
      <c r="J86">
        <f>RANK(I86,$I$2:$I$245)</f>
        <v>62</v>
      </c>
      <c r="K86">
        <v>9.08</v>
      </c>
      <c r="L86">
        <v>8.5903083700440508</v>
      </c>
      <c r="M86">
        <f>RANK(L86,$L$2:$L$245)</f>
        <v>90</v>
      </c>
      <c r="N86" s="2">
        <f>I86*EXP(-0.1*K86)</f>
        <v>31.45974608923526</v>
      </c>
      <c r="O86" s="2">
        <f>RANK(N86,$N$2:$N$245)</f>
        <v>85</v>
      </c>
    </row>
    <row r="87" spans="1:15" x14ac:dyDescent="0.2">
      <c r="A87" t="s">
        <v>16</v>
      </c>
      <c r="B87" t="s">
        <v>25</v>
      </c>
      <c r="C87">
        <v>1</v>
      </c>
      <c r="D87">
        <v>37</v>
      </c>
      <c r="E87">
        <v>1</v>
      </c>
      <c r="F87">
        <v>37</v>
      </c>
      <c r="G87" t="s">
        <v>18</v>
      </c>
      <c r="H87" t="s">
        <v>22</v>
      </c>
      <c r="I87">
        <v>86</v>
      </c>
      <c r="J87" s="2">
        <f>RANK(I87,$I$2:$I$245)</f>
        <v>29</v>
      </c>
      <c r="K87">
        <v>10.1</v>
      </c>
      <c r="L87">
        <v>8.5148514851485206</v>
      </c>
      <c r="M87">
        <f>RANK(L87,$L$2:$L$245)</f>
        <v>91</v>
      </c>
      <c r="N87" s="2">
        <f>I87*EXP(-0.1*K87)</f>
        <v>31.322832243151005</v>
      </c>
      <c r="O87" s="2">
        <f>RANK(N87,$N$2:$N$245)</f>
        <v>86</v>
      </c>
    </row>
    <row r="88" spans="1:15" x14ac:dyDescent="0.2">
      <c r="A88" t="s">
        <v>16</v>
      </c>
      <c r="B88" t="s">
        <v>25</v>
      </c>
      <c r="C88">
        <v>1</v>
      </c>
      <c r="D88">
        <v>50</v>
      </c>
      <c r="E88">
        <v>0</v>
      </c>
      <c r="F88">
        <v>0</v>
      </c>
      <c r="G88" t="s">
        <v>23</v>
      </c>
      <c r="H88" t="s">
        <v>22</v>
      </c>
      <c r="I88">
        <v>80</v>
      </c>
      <c r="J88">
        <f>RANK(I88,$I$2:$I$245)</f>
        <v>55</v>
      </c>
      <c r="K88">
        <v>9.44</v>
      </c>
      <c r="L88">
        <v>8.4745762711864394</v>
      </c>
      <c r="M88">
        <f>RANK(L88,$L$2:$L$245)</f>
        <v>92</v>
      </c>
      <c r="N88" s="2">
        <f>I88*EXP(-0.1*K88)</f>
        <v>31.125475590178908</v>
      </c>
      <c r="O88" s="2">
        <f>RANK(N88,$N$2:$N$245)</f>
        <v>87</v>
      </c>
    </row>
    <row r="89" spans="1:15" x14ac:dyDescent="0.2">
      <c r="A89" t="s">
        <v>16</v>
      </c>
      <c r="B89" t="s">
        <v>25</v>
      </c>
      <c r="C89">
        <v>2</v>
      </c>
      <c r="D89">
        <v>50</v>
      </c>
      <c r="E89">
        <v>2</v>
      </c>
      <c r="F89">
        <v>50</v>
      </c>
      <c r="G89" t="s">
        <v>18</v>
      </c>
      <c r="H89" t="s">
        <v>22</v>
      </c>
      <c r="I89">
        <v>82</v>
      </c>
      <c r="J89">
        <f>RANK(I89,$I$2:$I$245)</f>
        <v>46</v>
      </c>
      <c r="K89">
        <v>9.84</v>
      </c>
      <c r="L89">
        <v>8.3333333333333304</v>
      </c>
      <c r="M89">
        <f>RANK(L89,$L$2:$L$245)</f>
        <v>94</v>
      </c>
      <c r="N89" s="2">
        <f>I89*EXP(-0.1*K89)</f>
        <v>30.652653941528254</v>
      </c>
      <c r="O89" s="2">
        <f>RANK(N89,$N$2:$N$245)</f>
        <v>88</v>
      </c>
    </row>
    <row r="90" spans="1:15" x14ac:dyDescent="0.2">
      <c r="A90" t="s">
        <v>16</v>
      </c>
      <c r="B90" t="s">
        <v>24</v>
      </c>
      <c r="C90">
        <v>2</v>
      </c>
      <c r="D90">
        <v>37</v>
      </c>
      <c r="E90">
        <v>2</v>
      </c>
      <c r="F90">
        <v>37</v>
      </c>
      <c r="G90" t="s">
        <v>18</v>
      </c>
      <c r="H90" t="s">
        <v>22</v>
      </c>
      <c r="I90">
        <v>74</v>
      </c>
      <c r="J90" s="2">
        <f>RANK(I90,$I$2:$I$245)</f>
        <v>75</v>
      </c>
      <c r="K90">
        <v>8.82</v>
      </c>
      <c r="L90">
        <v>8.3900226757369598</v>
      </c>
      <c r="M90">
        <f>RANK(L90,$L$2:$L$245)</f>
        <v>93</v>
      </c>
      <c r="N90" s="2">
        <f>I90*EXP(-0.1*K90)</f>
        <v>30.632608940474281</v>
      </c>
      <c r="O90" s="2">
        <f>RANK(N90,$N$2:$N$245)</f>
        <v>89</v>
      </c>
    </row>
    <row r="91" spans="1:15" x14ac:dyDescent="0.2">
      <c r="A91" t="s">
        <v>16</v>
      </c>
      <c r="B91" t="s">
        <v>25</v>
      </c>
      <c r="C91">
        <v>5</v>
      </c>
      <c r="D91">
        <v>37</v>
      </c>
      <c r="E91">
        <v>5</v>
      </c>
      <c r="F91">
        <v>37</v>
      </c>
      <c r="G91" t="s">
        <v>18</v>
      </c>
      <c r="H91" t="s">
        <v>19</v>
      </c>
      <c r="I91">
        <v>58.164000000000001</v>
      </c>
      <c r="J91">
        <f>RANK(I91,$I$2:$I$245)</f>
        <v>109</v>
      </c>
      <c r="K91">
        <v>6.54</v>
      </c>
      <c r="L91">
        <v>8.8935779816513794</v>
      </c>
      <c r="M91">
        <f>RANK(L91,$L$2:$L$245)</f>
        <v>87</v>
      </c>
      <c r="N91" s="2">
        <f>I91*EXP(-0.1*K91)</f>
        <v>30.243056067892176</v>
      </c>
      <c r="O91" s="2">
        <f>RANK(N91,$N$2:$N$245)</f>
        <v>90</v>
      </c>
    </row>
    <row r="92" spans="1:15" x14ac:dyDescent="0.2">
      <c r="A92" t="s">
        <v>16</v>
      </c>
      <c r="B92" t="s">
        <v>24</v>
      </c>
      <c r="C92">
        <v>5</v>
      </c>
      <c r="D92">
        <v>25</v>
      </c>
      <c r="E92">
        <v>5</v>
      </c>
      <c r="F92">
        <v>25</v>
      </c>
      <c r="G92" t="s">
        <v>18</v>
      </c>
      <c r="H92" t="s">
        <v>19</v>
      </c>
      <c r="I92">
        <v>50.1</v>
      </c>
      <c r="J92">
        <f>RANK(I92,$I$2:$I$245)</f>
        <v>121</v>
      </c>
      <c r="K92">
        <v>5.0999999999999996</v>
      </c>
      <c r="L92">
        <v>9.8235294117647101</v>
      </c>
      <c r="M92">
        <f>RANK(L92,$L$2:$L$245)</f>
        <v>70</v>
      </c>
      <c r="N92" s="2">
        <f>I92*EXP(-0.1*K92)</f>
        <v>30.084828498494524</v>
      </c>
      <c r="O92" s="2">
        <f>RANK(N92,$N$2:$N$245)</f>
        <v>91</v>
      </c>
    </row>
    <row r="93" spans="1:15" x14ac:dyDescent="0.2">
      <c r="A93" t="s">
        <v>16</v>
      </c>
      <c r="B93" t="s">
        <v>25</v>
      </c>
      <c r="C93">
        <v>1</v>
      </c>
      <c r="D93">
        <v>25</v>
      </c>
      <c r="E93">
        <v>1</v>
      </c>
      <c r="F93">
        <v>25</v>
      </c>
      <c r="G93" t="s">
        <v>18</v>
      </c>
      <c r="H93" t="s">
        <v>22</v>
      </c>
      <c r="I93">
        <v>80</v>
      </c>
      <c r="J93" s="2">
        <f>RANK(I93,$I$2:$I$245)</f>
        <v>55</v>
      </c>
      <c r="K93">
        <v>9.98</v>
      </c>
      <c r="L93">
        <v>8.0160320641282592</v>
      </c>
      <c r="M93">
        <f>RANK(L93,$L$2:$L$245)</f>
        <v>95</v>
      </c>
      <c r="N93" s="2">
        <f>I93*EXP(-0.1*K93)</f>
        <v>29.489274904273501</v>
      </c>
      <c r="O93" s="2">
        <f>RANK(N93,$N$2:$N$245)</f>
        <v>92</v>
      </c>
    </row>
    <row r="94" spans="1:15" x14ac:dyDescent="0.2">
      <c r="A94" t="s">
        <v>16</v>
      </c>
      <c r="B94" t="s">
        <v>25</v>
      </c>
      <c r="C94">
        <v>2</v>
      </c>
      <c r="D94">
        <v>12</v>
      </c>
      <c r="E94">
        <v>2</v>
      </c>
      <c r="F94">
        <v>12</v>
      </c>
      <c r="G94" t="s">
        <v>18</v>
      </c>
      <c r="H94" t="s">
        <v>19</v>
      </c>
      <c r="I94">
        <v>52.112000000000002</v>
      </c>
      <c r="J94">
        <f>RANK(I94,$I$2:$I$245)</f>
        <v>120</v>
      </c>
      <c r="K94">
        <v>5.8</v>
      </c>
      <c r="L94">
        <v>8.9848275862068991</v>
      </c>
      <c r="M94">
        <f>RANK(L94,$L$2:$L$245)</f>
        <v>85</v>
      </c>
      <c r="N94" s="2">
        <f>I94*EXP(-0.1*K94)</f>
        <v>29.177423678456233</v>
      </c>
      <c r="O94" s="2">
        <f>RANK(N94,$N$2:$N$245)</f>
        <v>93</v>
      </c>
    </row>
    <row r="95" spans="1:15" x14ac:dyDescent="0.2">
      <c r="A95" t="s">
        <v>16</v>
      </c>
      <c r="B95" t="s">
        <v>25</v>
      </c>
      <c r="C95">
        <v>5</v>
      </c>
      <c r="D95">
        <v>50</v>
      </c>
      <c r="E95">
        <v>0</v>
      </c>
      <c r="F95">
        <v>0</v>
      </c>
      <c r="G95" t="s">
        <v>18</v>
      </c>
      <c r="H95" t="s">
        <v>22</v>
      </c>
      <c r="I95">
        <v>48</v>
      </c>
      <c r="J95" s="2">
        <f>RANK(I95,$I$2:$I$245)</f>
        <v>124</v>
      </c>
      <c r="K95">
        <v>5.0199999999999996</v>
      </c>
      <c r="L95">
        <v>9.5617529880478092</v>
      </c>
      <c r="M95">
        <f>RANK(L95,$L$2:$L$245)</f>
        <v>73</v>
      </c>
      <c r="N95" s="2">
        <f>I95*EXP(-0.1*K95)</f>
        <v>29.055302911018764</v>
      </c>
      <c r="O95" s="2">
        <f>RANK(N95,$N$2:$N$245)</f>
        <v>94</v>
      </c>
    </row>
    <row r="96" spans="1:15" x14ac:dyDescent="0.2">
      <c r="A96" t="s">
        <v>16</v>
      </c>
      <c r="B96" t="s">
        <v>24</v>
      </c>
      <c r="C96">
        <v>1</v>
      </c>
      <c r="D96">
        <v>25</v>
      </c>
      <c r="E96">
        <v>0</v>
      </c>
      <c r="F96">
        <v>0</v>
      </c>
      <c r="G96" t="s">
        <v>23</v>
      </c>
      <c r="H96" t="s">
        <v>19</v>
      </c>
      <c r="I96">
        <v>63.66</v>
      </c>
      <c r="J96">
        <f>RANK(I96,$I$2:$I$245)</f>
        <v>101</v>
      </c>
      <c r="K96">
        <v>8</v>
      </c>
      <c r="L96">
        <v>7.9574999999999996</v>
      </c>
      <c r="M96">
        <f>RANK(L96,$L$2:$L$245)</f>
        <v>97</v>
      </c>
      <c r="N96" s="2">
        <f>I96*EXP(-0.1*K96)</f>
        <v>28.604281855702322</v>
      </c>
      <c r="O96" s="2">
        <f>RANK(N96,$N$2:$N$245)</f>
        <v>95</v>
      </c>
    </row>
    <row r="97" spans="1:15" x14ac:dyDescent="0.2">
      <c r="A97" t="s">
        <v>16</v>
      </c>
      <c r="B97" t="s">
        <v>24</v>
      </c>
      <c r="C97">
        <v>1</v>
      </c>
      <c r="D97">
        <v>50</v>
      </c>
      <c r="E97">
        <v>1</v>
      </c>
      <c r="F97">
        <v>50</v>
      </c>
      <c r="G97" t="s">
        <v>23</v>
      </c>
      <c r="H97" t="s">
        <v>19</v>
      </c>
      <c r="I97">
        <v>85.792000000000002</v>
      </c>
      <c r="J97">
        <f>RANK(I97,$I$2:$I$245)</f>
        <v>33</v>
      </c>
      <c r="K97">
        <v>11</v>
      </c>
      <c r="L97">
        <v>7.7992727272727302</v>
      </c>
      <c r="M97">
        <f>RANK(L97,$L$2:$L$245)</f>
        <v>98</v>
      </c>
      <c r="N97" s="2">
        <f>I97*EXP(-0.1*K97)</f>
        <v>28.557676012625642</v>
      </c>
      <c r="O97" s="2">
        <f>RANK(N97,$N$2:$N$245)</f>
        <v>96</v>
      </c>
    </row>
    <row r="98" spans="1:15" x14ac:dyDescent="0.2">
      <c r="A98" t="s">
        <v>16</v>
      </c>
      <c r="B98" t="s">
        <v>25</v>
      </c>
      <c r="C98">
        <v>2</v>
      </c>
      <c r="D98">
        <v>37</v>
      </c>
      <c r="E98">
        <v>2</v>
      </c>
      <c r="F98">
        <v>37</v>
      </c>
      <c r="G98" t="s">
        <v>18</v>
      </c>
      <c r="H98" t="s">
        <v>22</v>
      </c>
      <c r="I98">
        <v>74</v>
      </c>
      <c r="J98">
        <f>RANK(I98,$I$2:$I$245)</f>
        <v>75</v>
      </c>
      <c r="K98">
        <v>9.68</v>
      </c>
      <c r="L98">
        <v>7.6446280991735502</v>
      </c>
      <c r="M98">
        <f>RANK(L98,$L$2:$L$245)</f>
        <v>99</v>
      </c>
      <c r="N98" s="2">
        <f>I98*EXP(-0.1*K98)</f>
        <v>28.108305251002026</v>
      </c>
      <c r="O98" s="2">
        <f>RANK(N98,$N$2:$N$245)</f>
        <v>97</v>
      </c>
    </row>
    <row r="99" spans="1:15" x14ac:dyDescent="0.2">
      <c r="A99" t="s">
        <v>16</v>
      </c>
      <c r="B99" t="s">
        <v>25</v>
      </c>
      <c r="C99">
        <v>5</v>
      </c>
      <c r="D99">
        <v>25</v>
      </c>
      <c r="E99">
        <v>5</v>
      </c>
      <c r="F99">
        <v>25</v>
      </c>
      <c r="G99" t="s">
        <v>18</v>
      </c>
      <c r="H99" t="s">
        <v>19</v>
      </c>
      <c r="I99">
        <v>47.892000000000003</v>
      </c>
      <c r="J99">
        <f>RANK(I99,$I$2:$I$245)</f>
        <v>126</v>
      </c>
      <c r="K99">
        <v>5.42</v>
      </c>
      <c r="L99">
        <v>8.8361623616236198</v>
      </c>
      <c r="M99">
        <f>RANK(L99,$L$2:$L$245)</f>
        <v>88</v>
      </c>
      <c r="N99" s="2">
        <f>I99*EXP(-0.1*K99)</f>
        <v>27.853217124854957</v>
      </c>
      <c r="O99" s="2">
        <f>RANK(N99,$N$2:$N$245)</f>
        <v>98</v>
      </c>
    </row>
    <row r="100" spans="1:15" x14ac:dyDescent="0.2">
      <c r="A100" t="s">
        <v>16</v>
      </c>
      <c r="B100" t="s">
        <v>24</v>
      </c>
      <c r="C100">
        <v>1</v>
      </c>
      <c r="D100">
        <v>12</v>
      </c>
      <c r="E100">
        <v>1</v>
      </c>
      <c r="F100">
        <v>12</v>
      </c>
      <c r="G100" t="s">
        <v>18</v>
      </c>
      <c r="H100" t="s">
        <v>22</v>
      </c>
      <c r="I100">
        <v>64</v>
      </c>
      <c r="J100">
        <f>RANK(I100,$I$2:$I$245)</f>
        <v>97</v>
      </c>
      <c r="K100">
        <v>8.4600000000000009</v>
      </c>
      <c r="L100">
        <v>7.5650118203309704</v>
      </c>
      <c r="M100">
        <f>RANK(L100,$L$2:$L$245)</f>
        <v>101</v>
      </c>
      <c r="N100" s="2">
        <f>I100*EXP(-0.1*K100)</f>
        <v>27.464192995816479</v>
      </c>
      <c r="O100" s="2">
        <f>RANK(N100,$N$2:$N$245)</f>
        <v>99</v>
      </c>
    </row>
    <row r="101" spans="1:15" x14ac:dyDescent="0.2">
      <c r="A101" t="s">
        <v>16</v>
      </c>
      <c r="B101" t="s">
        <v>25</v>
      </c>
      <c r="C101">
        <v>1</v>
      </c>
      <c r="D101">
        <v>50</v>
      </c>
      <c r="E101">
        <v>1</v>
      </c>
      <c r="F101">
        <v>50</v>
      </c>
      <c r="G101" t="s">
        <v>23</v>
      </c>
      <c r="H101" t="s">
        <v>19</v>
      </c>
      <c r="I101">
        <v>87.024000000000001</v>
      </c>
      <c r="J101">
        <f>RANK(I101,$I$2:$I$245)</f>
        <v>24</v>
      </c>
      <c r="K101">
        <v>11.6</v>
      </c>
      <c r="L101">
        <v>7.5020689655172399</v>
      </c>
      <c r="M101">
        <f>RANK(L101,$L$2:$L$245)</f>
        <v>102</v>
      </c>
      <c r="N101" s="2">
        <f>I101*EXP(-0.1*K101)</f>
        <v>27.280821405127845</v>
      </c>
      <c r="O101" s="2">
        <f>RANK(N101,$N$2:$N$245)</f>
        <v>100</v>
      </c>
    </row>
    <row r="102" spans="1:15" x14ac:dyDescent="0.2">
      <c r="A102" t="s">
        <v>16</v>
      </c>
      <c r="B102" t="s">
        <v>24</v>
      </c>
      <c r="C102">
        <v>2</v>
      </c>
      <c r="D102">
        <v>50</v>
      </c>
      <c r="E102">
        <v>0</v>
      </c>
      <c r="F102">
        <v>0</v>
      </c>
      <c r="G102" t="s">
        <v>23</v>
      </c>
      <c r="H102" t="s">
        <v>19</v>
      </c>
      <c r="I102">
        <v>59.34</v>
      </c>
      <c r="J102">
        <f>RANK(I102,$I$2:$I$245)</f>
        <v>108</v>
      </c>
      <c r="K102">
        <v>7.8</v>
      </c>
      <c r="L102">
        <v>7.60769230769231</v>
      </c>
      <c r="M102">
        <f>RANK(L102,$L$2:$L$245)</f>
        <v>100</v>
      </c>
      <c r="N102" s="2">
        <f>I102*EXP(-0.1*K102)</f>
        <v>27.201812710851964</v>
      </c>
      <c r="O102" s="2">
        <f>RANK(N102,$N$2:$N$245)</f>
        <v>101</v>
      </c>
    </row>
    <row r="103" spans="1:15" x14ac:dyDescent="0.2">
      <c r="A103" t="s">
        <v>16</v>
      </c>
      <c r="B103" t="s">
        <v>24</v>
      </c>
      <c r="C103">
        <v>2</v>
      </c>
      <c r="D103">
        <v>25</v>
      </c>
      <c r="E103">
        <v>2</v>
      </c>
      <c r="F103">
        <v>25</v>
      </c>
      <c r="G103" t="s">
        <v>18</v>
      </c>
      <c r="H103" t="s">
        <v>22</v>
      </c>
      <c r="I103">
        <v>64</v>
      </c>
      <c r="J103" s="2">
        <f>RANK(I103,$I$2:$I$245)</f>
        <v>97</v>
      </c>
      <c r="K103">
        <v>8.56</v>
      </c>
      <c r="L103">
        <v>7.4766355140186898</v>
      </c>
      <c r="M103">
        <f>RANK(L103,$L$2:$L$245)</f>
        <v>103</v>
      </c>
      <c r="N103" s="2">
        <f>I103*EXP(-0.1*K103)</f>
        <v>27.190919709563172</v>
      </c>
      <c r="O103" s="2">
        <f>RANK(N103,$N$2:$N$245)</f>
        <v>102</v>
      </c>
    </row>
    <row r="104" spans="1:15" x14ac:dyDescent="0.2">
      <c r="A104" t="s">
        <v>16</v>
      </c>
      <c r="B104" t="s">
        <v>24</v>
      </c>
      <c r="C104">
        <v>1</v>
      </c>
      <c r="D104">
        <v>37</v>
      </c>
      <c r="E104">
        <v>1</v>
      </c>
      <c r="F104">
        <v>37</v>
      </c>
      <c r="G104" t="s">
        <v>23</v>
      </c>
      <c r="H104" t="s">
        <v>19</v>
      </c>
      <c r="I104">
        <v>81.236000000000004</v>
      </c>
      <c r="J104">
        <f>RANK(I104,$I$2:$I$245)</f>
        <v>51</v>
      </c>
      <c r="K104">
        <v>11.08</v>
      </c>
      <c r="L104">
        <v>7.3317689530685897</v>
      </c>
      <c r="M104">
        <f>RANK(L104,$L$2:$L$245)</f>
        <v>104</v>
      </c>
      <c r="N104" s="2">
        <f>I104*EXP(-0.1*K104)</f>
        <v>26.825649445245315</v>
      </c>
      <c r="O104" s="2">
        <f>RANK(N104,$N$2:$N$245)</f>
        <v>103</v>
      </c>
    </row>
    <row r="105" spans="1:15" x14ac:dyDescent="0.2">
      <c r="A105" t="s">
        <v>16</v>
      </c>
      <c r="B105" t="s">
        <v>24</v>
      </c>
      <c r="C105">
        <v>2</v>
      </c>
      <c r="D105">
        <v>75</v>
      </c>
      <c r="E105">
        <v>0</v>
      </c>
      <c r="F105">
        <v>0</v>
      </c>
      <c r="G105" t="s">
        <v>23</v>
      </c>
      <c r="H105" t="s">
        <v>22</v>
      </c>
      <c r="I105">
        <v>64</v>
      </c>
      <c r="J105">
        <f>RANK(I105,$I$2:$I$245)</f>
        <v>97</v>
      </c>
      <c r="K105">
        <v>9</v>
      </c>
      <c r="L105">
        <v>7.1111111111111098</v>
      </c>
      <c r="M105">
        <f>RANK(L105,$L$2:$L$245)</f>
        <v>105</v>
      </c>
      <c r="N105" s="2">
        <f>I105*EXP(-0.1*K105)</f>
        <v>26.020458223398343</v>
      </c>
      <c r="O105" s="2">
        <f>RANK(N105,$N$2:$N$245)</f>
        <v>104</v>
      </c>
    </row>
    <row r="106" spans="1:15" x14ac:dyDescent="0.2">
      <c r="A106" t="s">
        <v>16</v>
      </c>
      <c r="B106" t="s">
        <v>24</v>
      </c>
      <c r="C106">
        <v>1</v>
      </c>
      <c r="D106">
        <v>50</v>
      </c>
      <c r="E106">
        <v>1</v>
      </c>
      <c r="F106">
        <v>50</v>
      </c>
      <c r="G106" t="s">
        <v>23</v>
      </c>
      <c r="H106" t="s">
        <v>22</v>
      </c>
      <c r="I106">
        <v>84</v>
      </c>
      <c r="J106">
        <f>RANK(I106,$I$2:$I$245)</f>
        <v>36</v>
      </c>
      <c r="K106">
        <v>12.34</v>
      </c>
      <c r="L106">
        <v>6.8071312803889796</v>
      </c>
      <c r="M106">
        <f>RANK(L106,$L$2:$L$245)</f>
        <v>106</v>
      </c>
      <c r="N106" s="2">
        <f>I106*EXP(-0.1*K106)</f>
        <v>24.454562378071156</v>
      </c>
      <c r="O106" s="2">
        <f>RANK(N106,$N$2:$N$245)</f>
        <v>105</v>
      </c>
    </row>
    <row r="107" spans="1:15" x14ac:dyDescent="0.2">
      <c r="A107" t="s">
        <v>16</v>
      </c>
      <c r="B107" t="s">
        <v>25</v>
      </c>
      <c r="C107">
        <v>2</v>
      </c>
      <c r="D107">
        <v>50</v>
      </c>
      <c r="E107">
        <v>0</v>
      </c>
      <c r="F107">
        <v>0</v>
      </c>
      <c r="G107" t="s">
        <v>23</v>
      </c>
      <c r="H107" t="s">
        <v>19</v>
      </c>
      <c r="I107">
        <v>62.468000000000004</v>
      </c>
      <c r="J107">
        <f>RANK(I107,$I$2:$I$245)</f>
        <v>102</v>
      </c>
      <c r="K107">
        <v>9.42</v>
      </c>
      <c r="L107">
        <v>6.6314225053078601</v>
      </c>
      <c r="M107">
        <f>RANK(L107,$L$2:$L$245)</f>
        <v>108</v>
      </c>
      <c r="N107" s="2">
        <f>I107*EXP(-0.1*K107)</f>
        <v>24.352984910897593</v>
      </c>
      <c r="O107" s="2">
        <f>RANK(N107,$N$2:$N$245)</f>
        <v>106</v>
      </c>
    </row>
    <row r="108" spans="1:15" x14ac:dyDescent="0.2">
      <c r="A108" t="s">
        <v>16</v>
      </c>
      <c r="B108" t="s">
        <v>25</v>
      </c>
      <c r="C108">
        <v>2</v>
      </c>
      <c r="D108">
        <v>25</v>
      </c>
      <c r="E108">
        <v>2</v>
      </c>
      <c r="F108">
        <v>25</v>
      </c>
      <c r="G108" t="s">
        <v>18</v>
      </c>
      <c r="H108" t="s">
        <v>22</v>
      </c>
      <c r="I108">
        <v>62</v>
      </c>
      <c r="J108">
        <f>RANK(I108,$I$2:$I$245)</f>
        <v>103</v>
      </c>
      <c r="K108">
        <v>9.3800000000000008</v>
      </c>
      <c r="L108">
        <v>6.6098081023454203</v>
      </c>
      <c r="M108">
        <f>RANK(L108,$L$2:$L$245)</f>
        <v>109</v>
      </c>
      <c r="N108" s="2">
        <f>I108*EXP(-0.1*K108)</f>
        <v>24.267412113972398</v>
      </c>
      <c r="O108" s="2">
        <f>RANK(N108,$N$2:$N$245)</f>
        <v>107</v>
      </c>
    </row>
    <row r="109" spans="1:15" x14ac:dyDescent="0.2">
      <c r="A109" t="s">
        <v>16</v>
      </c>
      <c r="B109" t="s">
        <v>24</v>
      </c>
      <c r="C109">
        <v>5</v>
      </c>
      <c r="D109">
        <v>50</v>
      </c>
      <c r="E109">
        <v>5</v>
      </c>
      <c r="F109">
        <v>50</v>
      </c>
      <c r="G109" t="s">
        <v>18</v>
      </c>
      <c r="H109" t="s">
        <v>22</v>
      </c>
      <c r="I109">
        <v>56</v>
      </c>
      <c r="J109">
        <f>RANK(I109,$I$2:$I$245)</f>
        <v>114</v>
      </c>
      <c r="K109">
        <v>8.64</v>
      </c>
      <c r="L109">
        <v>6.4814814814814801</v>
      </c>
      <c r="M109">
        <f>RANK(L109,$L$2:$L$245)</f>
        <v>110</v>
      </c>
      <c r="N109" s="2">
        <f>I109*EXP(-0.1*K109)</f>
        <v>23.602477627451385</v>
      </c>
      <c r="O109" s="2">
        <f>RANK(N109,$N$2:$N$245)</f>
        <v>108</v>
      </c>
    </row>
    <row r="110" spans="1:15" x14ac:dyDescent="0.2">
      <c r="A110" t="s">
        <v>16</v>
      </c>
      <c r="B110" t="s">
        <v>25</v>
      </c>
      <c r="C110">
        <v>1</v>
      </c>
      <c r="D110">
        <v>12</v>
      </c>
      <c r="E110">
        <v>1</v>
      </c>
      <c r="F110">
        <v>12</v>
      </c>
      <c r="G110" t="s">
        <v>18</v>
      </c>
      <c r="H110" t="s">
        <v>22</v>
      </c>
      <c r="I110">
        <v>60</v>
      </c>
      <c r="J110">
        <f>RANK(I110,$I$2:$I$245)</f>
        <v>106</v>
      </c>
      <c r="K110">
        <v>9.4</v>
      </c>
      <c r="L110">
        <v>6.3829787234042596</v>
      </c>
      <c r="M110">
        <f>RANK(L110,$L$2:$L$245)</f>
        <v>112</v>
      </c>
      <c r="N110" s="2">
        <f>I110*EXP(-0.1*K110)</f>
        <v>23.437670121511264</v>
      </c>
      <c r="O110" s="2">
        <f>RANK(N110,$N$2:$N$245)</f>
        <v>109</v>
      </c>
    </row>
    <row r="111" spans="1:15" x14ac:dyDescent="0.2">
      <c r="A111" t="s">
        <v>16</v>
      </c>
      <c r="B111" t="s">
        <v>25</v>
      </c>
      <c r="C111">
        <v>1</v>
      </c>
      <c r="D111">
        <v>25</v>
      </c>
      <c r="E111">
        <v>0</v>
      </c>
      <c r="F111">
        <v>0</v>
      </c>
      <c r="G111" t="s">
        <v>23</v>
      </c>
      <c r="H111" t="s">
        <v>19</v>
      </c>
      <c r="I111">
        <v>60.631999999999998</v>
      </c>
      <c r="J111" s="2">
        <f>RANK(I111,$I$2:$I$245)</f>
        <v>105</v>
      </c>
      <c r="K111">
        <v>9.64</v>
      </c>
      <c r="L111">
        <v>6.2896265560166</v>
      </c>
      <c r="M111">
        <f>RANK(L111,$L$2:$L$245)</f>
        <v>113</v>
      </c>
      <c r="N111" s="2">
        <f>I111*EXP(-0.1*K111)</f>
        <v>23.122884693699696</v>
      </c>
      <c r="O111" s="2">
        <f>RANK(N111,$N$2:$N$245)</f>
        <v>110</v>
      </c>
    </row>
    <row r="112" spans="1:15" x14ac:dyDescent="0.2">
      <c r="A112" t="s">
        <v>16</v>
      </c>
      <c r="B112" t="s">
        <v>25</v>
      </c>
      <c r="C112">
        <v>1</v>
      </c>
      <c r="D112">
        <v>37</v>
      </c>
      <c r="E112">
        <v>1</v>
      </c>
      <c r="F112">
        <v>37</v>
      </c>
      <c r="G112" t="s">
        <v>23</v>
      </c>
      <c r="H112" t="s">
        <v>19</v>
      </c>
      <c r="I112">
        <v>81.671999999999997</v>
      </c>
      <c r="J112">
        <f>RANK(I112,$I$2:$I$245)</f>
        <v>50</v>
      </c>
      <c r="K112">
        <v>12.68</v>
      </c>
      <c r="L112">
        <v>6.4410094637224002</v>
      </c>
      <c r="M112">
        <f>RANK(L112,$L$2:$L$245)</f>
        <v>111</v>
      </c>
      <c r="N112" s="2">
        <f>I112*EXP(-0.1*K112)</f>
        <v>22.981998277068762</v>
      </c>
      <c r="O112" s="2">
        <f>RANK(N112,$N$2:$N$245)</f>
        <v>111</v>
      </c>
    </row>
    <row r="113" spans="1:15" x14ac:dyDescent="0.2">
      <c r="A113" t="s">
        <v>16</v>
      </c>
      <c r="B113" t="s">
        <v>25</v>
      </c>
      <c r="C113">
        <v>5</v>
      </c>
      <c r="D113">
        <v>50</v>
      </c>
      <c r="E113">
        <v>5</v>
      </c>
      <c r="F113">
        <v>50</v>
      </c>
      <c r="G113" t="s">
        <v>18</v>
      </c>
      <c r="H113" t="s">
        <v>22</v>
      </c>
      <c r="I113">
        <v>58</v>
      </c>
      <c r="J113">
        <f>RANK(I113,$I$2:$I$245)</f>
        <v>110</v>
      </c>
      <c r="K113">
        <v>9.26</v>
      </c>
      <c r="L113">
        <v>6.2634989200863904</v>
      </c>
      <c r="M113">
        <f>RANK(L113,$L$2:$L$245)</f>
        <v>114</v>
      </c>
      <c r="N113" s="2">
        <f>I113*EXP(-0.1*K113)</f>
        <v>22.97583497962221</v>
      </c>
      <c r="O113" s="2">
        <f>RANK(N113,$N$2:$N$245)</f>
        <v>112</v>
      </c>
    </row>
    <row r="114" spans="1:15" x14ac:dyDescent="0.2">
      <c r="A114" t="s">
        <v>16</v>
      </c>
      <c r="B114" t="s">
        <v>25</v>
      </c>
      <c r="C114">
        <v>2</v>
      </c>
      <c r="D114">
        <v>75</v>
      </c>
      <c r="E114">
        <v>0</v>
      </c>
      <c r="F114">
        <v>0</v>
      </c>
      <c r="G114" t="s">
        <v>23</v>
      </c>
      <c r="H114" t="s">
        <v>22</v>
      </c>
      <c r="I114">
        <v>70</v>
      </c>
      <c r="J114">
        <f>RANK(I114,$I$2:$I$245)</f>
        <v>87</v>
      </c>
      <c r="K114">
        <v>11.2</v>
      </c>
      <c r="L114">
        <v>6.25</v>
      </c>
      <c r="M114">
        <f>RANK(L114,$L$2:$L$245)</f>
        <v>115</v>
      </c>
      <c r="N114" s="2">
        <f>I114*EXP(-0.1*K114)</f>
        <v>22.839585623612766</v>
      </c>
      <c r="O114" s="2">
        <f>RANK(N114,$N$2:$N$245)</f>
        <v>113</v>
      </c>
    </row>
    <row r="115" spans="1:15" x14ac:dyDescent="0.2">
      <c r="A115" t="s">
        <v>16</v>
      </c>
      <c r="B115" t="s">
        <v>24</v>
      </c>
      <c r="C115">
        <v>2</v>
      </c>
      <c r="D115">
        <v>50</v>
      </c>
      <c r="E115">
        <v>2</v>
      </c>
      <c r="F115">
        <v>50</v>
      </c>
      <c r="G115" t="s">
        <v>23</v>
      </c>
      <c r="H115" t="s">
        <v>19</v>
      </c>
      <c r="I115">
        <v>72.408000000000001</v>
      </c>
      <c r="J115">
        <f>RANK(I115,$I$2:$I$245)</f>
        <v>77</v>
      </c>
      <c r="K115">
        <v>11.98</v>
      </c>
      <c r="L115">
        <v>6.0440734557595999</v>
      </c>
      <c r="M115">
        <f>RANK(L115,$L$2:$L$245)</f>
        <v>116</v>
      </c>
      <c r="N115" s="2">
        <f>I115*EXP(-0.1*K115)</f>
        <v>21.852531883965035</v>
      </c>
      <c r="O115" s="2">
        <f>RANK(N115,$N$2:$N$245)</f>
        <v>114</v>
      </c>
    </row>
    <row r="116" spans="1:15" x14ac:dyDescent="0.2">
      <c r="A116" t="s">
        <v>16</v>
      </c>
      <c r="B116" t="s">
        <v>25</v>
      </c>
      <c r="C116">
        <v>1</v>
      </c>
      <c r="D116">
        <v>50</v>
      </c>
      <c r="E116">
        <v>1</v>
      </c>
      <c r="F116">
        <v>50</v>
      </c>
      <c r="G116" t="s">
        <v>23</v>
      </c>
      <c r="H116" t="s">
        <v>22</v>
      </c>
      <c r="I116">
        <v>84</v>
      </c>
      <c r="J116">
        <f>RANK(I116,$I$2:$I$245)</f>
        <v>36</v>
      </c>
      <c r="K116">
        <v>14</v>
      </c>
      <c r="L116">
        <v>6</v>
      </c>
      <c r="M116">
        <f>RANK(L116,$L$2:$L$245)</f>
        <v>117</v>
      </c>
      <c r="N116" s="2">
        <f>I116*EXP(-0.1*K116)</f>
        <v>20.714144971094939</v>
      </c>
      <c r="O116" s="2">
        <f>RANK(N116,$N$2:$N$245)</f>
        <v>115</v>
      </c>
    </row>
    <row r="117" spans="1:15" x14ac:dyDescent="0.2">
      <c r="A117" t="s">
        <v>16</v>
      </c>
      <c r="B117" t="s">
        <v>24</v>
      </c>
      <c r="C117">
        <v>5</v>
      </c>
      <c r="D117">
        <v>12</v>
      </c>
      <c r="E117">
        <v>5</v>
      </c>
      <c r="F117">
        <v>12</v>
      </c>
      <c r="G117" t="s">
        <v>18</v>
      </c>
      <c r="H117" t="s">
        <v>19</v>
      </c>
      <c r="I117">
        <v>29.571999999999999</v>
      </c>
      <c r="J117">
        <f>RANK(I117,$I$2:$I$245)</f>
        <v>133</v>
      </c>
      <c r="K117">
        <v>3.7</v>
      </c>
      <c r="L117">
        <v>7.9924324324324303</v>
      </c>
      <c r="M117">
        <f>RANK(L117,$L$2:$L$245)</f>
        <v>96</v>
      </c>
      <c r="N117" s="2">
        <f>I117*EXP(-0.1*K117)</f>
        <v>20.426395625607853</v>
      </c>
      <c r="O117" s="2">
        <f>RANK(N117,$N$2:$N$245)</f>
        <v>116</v>
      </c>
    </row>
    <row r="118" spans="1:15" x14ac:dyDescent="0.2">
      <c r="A118" t="s">
        <v>16</v>
      </c>
      <c r="B118" t="s">
        <v>25</v>
      </c>
      <c r="C118">
        <v>5</v>
      </c>
      <c r="D118">
        <v>37</v>
      </c>
      <c r="E118">
        <v>5</v>
      </c>
      <c r="F118">
        <v>37</v>
      </c>
      <c r="G118" t="s">
        <v>18</v>
      </c>
      <c r="H118" t="s">
        <v>22</v>
      </c>
      <c r="I118">
        <v>48</v>
      </c>
      <c r="J118">
        <f>RANK(I118,$I$2:$I$245)</f>
        <v>124</v>
      </c>
      <c r="K118">
        <v>8.7799999999999994</v>
      </c>
      <c r="L118">
        <v>5.4669703872437303</v>
      </c>
      <c r="M118">
        <f>RANK(L118,$L$2:$L$245)</f>
        <v>119</v>
      </c>
      <c r="N118" s="2">
        <f>I118*EXP(-0.1*K118)</f>
        <v>19.949438765956241</v>
      </c>
      <c r="O118" s="2">
        <f>RANK(N118,$N$2:$N$245)</f>
        <v>117</v>
      </c>
    </row>
    <row r="119" spans="1:15" x14ac:dyDescent="0.2">
      <c r="A119" t="s">
        <v>16</v>
      </c>
      <c r="B119" t="s">
        <v>24</v>
      </c>
      <c r="C119">
        <v>5</v>
      </c>
      <c r="D119">
        <v>37</v>
      </c>
      <c r="E119">
        <v>5</v>
      </c>
      <c r="F119">
        <v>37</v>
      </c>
      <c r="G119" t="s">
        <v>18</v>
      </c>
      <c r="H119" t="s">
        <v>22</v>
      </c>
      <c r="I119">
        <v>44</v>
      </c>
      <c r="J119">
        <f>RANK(I119,$I$2:$I$245)</f>
        <v>128</v>
      </c>
      <c r="K119">
        <v>8.32</v>
      </c>
      <c r="L119">
        <v>5.2884615384615401</v>
      </c>
      <c r="M119">
        <f>RANK(L119,$L$2:$L$245)</f>
        <v>122</v>
      </c>
      <c r="N119" s="2">
        <f>I119*EXP(-0.1*K119)</f>
        <v>19.147834607719695</v>
      </c>
      <c r="O119" s="2">
        <f>RANK(N119,$N$2:$N$245)</f>
        <v>118</v>
      </c>
    </row>
    <row r="120" spans="1:15" x14ac:dyDescent="0.2">
      <c r="A120" t="s">
        <v>16</v>
      </c>
      <c r="B120" t="s">
        <v>25</v>
      </c>
      <c r="C120">
        <v>5</v>
      </c>
      <c r="D120">
        <v>100</v>
      </c>
      <c r="E120">
        <v>0</v>
      </c>
      <c r="F120">
        <v>0</v>
      </c>
      <c r="G120" t="s">
        <v>23</v>
      </c>
      <c r="H120" t="s">
        <v>19</v>
      </c>
      <c r="I120">
        <v>52.491999999999997</v>
      </c>
      <c r="J120">
        <f>RANK(I120,$I$2:$I$245)</f>
        <v>119</v>
      </c>
      <c r="K120">
        <v>10.1</v>
      </c>
      <c r="L120">
        <v>5.1972277227722801</v>
      </c>
      <c r="M120">
        <f>RANK(L120,$L$2:$L$245)</f>
        <v>124</v>
      </c>
      <c r="N120" s="2">
        <f>I120*EXP(-0.1*K120)</f>
        <v>19.118582675668403</v>
      </c>
      <c r="O120" s="2">
        <f>RANK(N120,$N$2:$N$245)</f>
        <v>119</v>
      </c>
    </row>
    <row r="121" spans="1:15" x14ac:dyDescent="0.2">
      <c r="A121" t="s">
        <v>16</v>
      </c>
      <c r="B121" t="s">
        <v>25</v>
      </c>
      <c r="C121">
        <v>1</v>
      </c>
      <c r="D121">
        <v>25</v>
      </c>
      <c r="E121">
        <v>1</v>
      </c>
      <c r="F121">
        <v>25</v>
      </c>
      <c r="G121" t="s">
        <v>23</v>
      </c>
      <c r="H121" t="s">
        <v>19</v>
      </c>
      <c r="I121">
        <v>69.739999999999995</v>
      </c>
      <c r="J121">
        <f>RANK(I121,$I$2:$I$245)</f>
        <v>89</v>
      </c>
      <c r="K121">
        <v>13.14</v>
      </c>
      <c r="L121">
        <v>5.3074581430745802</v>
      </c>
      <c r="M121">
        <f>RANK(L121,$L$2:$L$245)</f>
        <v>121</v>
      </c>
      <c r="N121" s="2">
        <f>I121*EXP(-0.1*K121)</f>
        <v>18.742132066828059</v>
      </c>
      <c r="O121" s="2">
        <f>RANK(N121,$N$2:$N$245)</f>
        <v>120</v>
      </c>
    </row>
    <row r="122" spans="1:15" x14ac:dyDescent="0.2">
      <c r="A122" t="s">
        <v>16</v>
      </c>
      <c r="B122" t="s">
        <v>24</v>
      </c>
      <c r="C122">
        <v>1</v>
      </c>
      <c r="D122">
        <v>37</v>
      </c>
      <c r="E122">
        <v>1</v>
      </c>
      <c r="F122">
        <v>37</v>
      </c>
      <c r="G122" t="s">
        <v>23</v>
      </c>
      <c r="H122" t="s">
        <v>22</v>
      </c>
      <c r="I122">
        <v>78</v>
      </c>
      <c r="J122">
        <f>RANK(I122,$I$2:$I$245)</f>
        <v>62</v>
      </c>
      <c r="K122">
        <v>14.38</v>
      </c>
      <c r="L122">
        <v>5.4242002781641201</v>
      </c>
      <c r="M122">
        <f>RANK(L122,$L$2:$L$245)</f>
        <v>120</v>
      </c>
      <c r="N122" s="2">
        <f>I122*EXP(-0.1*K122)</f>
        <v>18.517362892943073</v>
      </c>
      <c r="O122" s="2">
        <f>RANK(N122,$N$2:$N$245)</f>
        <v>121</v>
      </c>
    </row>
    <row r="123" spans="1:15" x14ac:dyDescent="0.2">
      <c r="A123" t="s">
        <v>16</v>
      </c>
      <c r="B123" t="s">
        <v>25</v>
      </c>
      <c r="C123">
        <v>2</v>
      </c>
      <c r="D123">
        <v>50</v>
      </c>
      <c r="E123">
        <v>2</v>
      </c>
      <c r="F123">
        <v>50</v>
      </c>
      <c r="G123" t="s">
        <v>23</v>
      </c>
      <c r="H123" t="s">
        <v>19</v>
      </c>
      <c r="I123">
        <v>71.152000000000001</v>
      </c>
      <c r="J123">
        <f>RANK(I123,$I$2:$I$245)</f>
        <v>83</v>
      </c>
      <c r="K123">
        <v>13.64</v>
      </c>
      <c r="L123">
        <v>5.2164222873900297</v>
      </c>
      <c r="M123">
        <f>RANK(L123,$L$2:$L$245)</f>
        <v>123</v>
      </c>
      <c r="N123" s="2">
        <f>I123*EXP(-0.1*K123)</f>
        <v>18.189025792213766</v>
      </c>
      <c r="O123" s="2">
        <f>RANK(N123,$N$2:$N$245)</f>
        <v>122</v>
      </c>
    </row>
    <row r="124" spans="1:15" x14ac:dyDescent="0.2">
      <c r="A124" t="s">
        <v>16</v>
      </c>
      <c r="B124" t="s">
        <v>24</v>
      </c>
      <c r="C124">
        <v>1</v>
      </c>
      <c r="D124">
        <v>25</v>
      </c>
      <c r="E124">
        <v>1</v>
      </c>
      <c r="F124">
        <v>25</v>
      </c>
      <c r="G124" t="s">
        <v>23</v>
      </c>
      <c r="H124" t="s">
        <v>19</v>
      </c>
      <c r="I124">
        <v>71.248000000000005</v>
      </c>
      <c r="J124" s="2">
        <f>RANK(I124,$I$2:$I$245)</f>
        <v>82</v>
      </c>
      <c r="K124">
        <v>13.72</v>
      </c>
      <c r="L124">
        <v>5.1930029154519</v>
      </c>
      <c r="M124">
        <f>RANK(L124,$L$2:$L$245)</f>
        <v>125</v>
      </c>
      <c r="N124" s="2">
        <f>I124*EXP(-0.1*K124)</f>
        <v>18.068439614007367</v>
      </c>
      <c r="O124" s="2">
        <f>RANK(N124,$N$2:$N$245)</f>
        <v>123</v>
      </c>
    </row>
    <row r="125" spans="1:15" x14ac:dyDescent="0.2">
      <c r="A125" t="s">
        <v>16</v>
      </c>
      <c r="B125" t="s">
        <v>24</v>
      </c>
      <c r="C125">
        <v>5</v>
      </c>
      <c r="D125">
        <v>100</v>
      </c>
      <c r="E125">
        <v>0</v>
      </c>
      <c r="F125">
        <v>0</v>
      </c>
      <c r="G125" t="s">
        <v>23</v>
      </c>
      <c r="H125" t="s">
        <v>19</v>
      </c>
      <c r="I125">
        <v>39.707999999999998</v>
      </c>
      <c r="J125" s="2">
        <f>RANK(I125,$I$2:$I$245)</f>
        <v>130</v>
      </c>
      <c r="K125">
        <v>8.06</v>
      </c>
      <c r="L125">
        <v>4.9265508684863502</v>
      </c>
      <c r="M125">
        <f>RANK(L125,$L$2:$L$245)</f>
        <v>126</v>
      </c>
      <c r="N125" s="2">
        <f>I125*EXP(-0.1*K125)</f>
        <v>17.735223293956711</v>
      </c>
      <c r="O125" s="2">
        <f>RANK(N125,$N$2:$N$245)</f>
        <v>124</v>
      </c>
    </row>
    <row r="126" spans="1:15" x14ac:dyDescent="0.2">
      <c r="A126" t="s">
        <v>16</v>
      </c>
      <c r="B126" t="s">
        <v>25</v>
      </c>
      <c r="C126">
        <v>5</v>
      </c>
      <c r="D126">
        <v>12</v>
      </c>
      <c r="E126">
        <v>5</v>
      </c>
      <c r="F126">
        <v>12</v>
      </c>
      <c r="G126" t="s">
        <v>18</v>
      </c>
      <c r="H126" t="s">
        <v>19</v>
      </c>
      <c r="I126">
        <v>25.96</v>
      </c>
      <c r="J126" s="2">
        <f>RANK(I126,$I$2:$I$245)</f>
        <v>135</v>
      </c>
      <c r="K126">
        <v>3.82</v>
      </c>
      <c r="L126">
        <v>6.7958115183246104</v>
      </c>
      <c r="M126">
        <f>RANK(L126,$L$2:$L$245)</f>
        <v>107</v>
      </c>
      <c r="N126" s="2">
        <f>I126*EXP(-0.1*K126)</f>
        <v>17.717571581211928</v>
      </c>
      <c r="O126" s="2">
        <f>RANK(N126,$N$2:$N$245)</f>
        <v>125</v>
      </c>
    </row>
    <row r="127" spans="1:15" x14ac:dyDescent="0.2">
      <c r="A127" t="s">
        <v>16</v>
      </c>
      <c r="B127" t="s">
        <v>24</v>
      </c>
      <c r="C127">
        <v>2</v>
      </c>
      <c r="D127">
        <v>12</v>
      </c>
      <c r="E127">
        <v>2</v>
      </c>
      <c r="F127">
        <v>12</v>
      </c>
      <c r="G127" t="s">
        <v>18</v>
      </c>
      <c r="H127" t="s">
        <v>22</v>
      </c>
      <c r="I127">
        <v>36</v>
      </c>
      <c r="J127" s="2">
        <f>RANK(I127,$I$2:$I$245)</f>
        <v>131</v>
      </c>
      <c r="K127">
        <v>7.68</v>
      </c>
      <c r="L127">
        <v>4.6875</v>
      </c>
      <c r="M127">
        <f>RANK(L127,$L$2:$L$245)</f>
        <v>127</v>
      </c>
      <c r="N127" s="2">
        <f>I127*EXP(-0.1*K127)</f>
        <v>16.701840759299284</v>
      </c>
      <c r="O127" s="2">
        <f>RANK(N127,$N$2:$N$245)</f>
        <v>126</v>
      </c>
    </row>
    <row r="128" spans="1:15" x14ac:dyDescent="0.2">
      <c r="A128" t="s">
        <v>16</v>
      </c>
      <c r="B128" t="s">
        <v>24</v>
      </c>
      <c r="C128">
        <v>5</v>
      </c>
      <c r="D128">
        <v>25</v>
      </c>
      <c r="E128">
        <v>0</v>
      </c>
      <c r="F128">
        <v>0</v>
      </c>
      <c r="G128" t="s">
        <v>18</v>
      </c>
      <c r="H128" t="s">
        <v>22</v>
      </c>
      <c r="I128">
        <v>22</v>
      </c>
      <c r="J128" s="2">
        <f>RANK(I128,$I$2:$I$245)</f>
        <v>136</v>
      </c>
      <c r="K128">
        <v>4</v>
      </c>
      <c r="L128">
        <v>5.5</v>
      </c>
      <c r="M128">
        <f>RANK(L128,$L$2:$L$245)</f>
        <v>118</v>
      </c>
      <c r="N128" s="2">
        <f>I128*EXP(-0.1*K128)</f>
        <v>14.747041012784065</v>
      </c>
      <c r="O128" s="2">
        <f>RANK(N128,$N$2:$N$245)</f>
        <v>127</v>
      </c>
    </row>
    <row r="129" spans="1:15" x14ac:dyDescent="0.2">
      <c r="A129" t="s">
        <v>16</v>
      </c>
      <c r="B129" t="s">
        <v>25</v>
      </c>
      <c r="C129">
        <v>1</v>
      </c>
      <c r="D129">
        <v>37</v>
      </c>
      <c r="E129">
        <v>1</v>
      </c>
      <c r="F129">
        <v>37</v>
      </c>
      <c r="G129" t="s">
        <v>23</v>
      </c>
      <c r="H129" t="s">
        <v>22</v>
      </c>
      <c r="I129">
        <v>76</v>
      </c>
      <c r="J129" s="2">
        <f>RANK(I129,$I$2:$I$245)</f>
        <v>70</v>
      </c>
      <c r="K129">
        <v>16.5</v>
      </c>
      <c r="L129">
        <v>4.60606060606061</v>
      </c>
      <c r="M129">
        <f>RANK(L129,$L$2:$L$245)</f>
        <v>128</v>
      </c>
      <c r="N129" s="2">
        <f>I129*EXP(-0.1*K129)</f>
        <v>14.59579305517731</v>
      </c>
      <c r="O129" s="2">
        <f>RANK(N129,$N$2:$N$245)</f>
        <v>128</v>
      </c>
    </row>
    <row r="130" spans="1:15" x14ac:dyDescent="0.2">
      <c r="A130" t="s">
        <v>16</v>
      </c>
      <c r="B130" t="s">
        <v>24</v>
      </c>
      <c r="C130">
        <v>2</v>
      </c>
      <c r="D130">
        <v>37</v>
      </c>
      <c r="E130">
        <v>2</v>
      </c>
      <c r="F130">
        <v>37</v>
      </c>
      <c r="G130" t="s">
        <v>23</v>
      </c>
      <c r="H130" t="s">
        <v>19</v>
      </c>
      <c r="I130">
        <v>57.911999999999999</v>
      </c>
      <c r="J130" s="2">
        <f>RANK(I130,$I$2:$I$245)</f>
        <v>113</v>
      </c>
      <c r="K130">
        <v>13.84</v>
      </c>
      <c r="L130">
        <v>4.1843930635838102</v>
      </c>
      <c r="M130">
        <f>RANK(L130,$L$2:$L$245)</f>
        <v>129</v>
      </c>
      <c r="N130" s="2">
        <f>I130*EXP(-0.1*K130)</f>
        <v>14.511255896222917</v>
      </c>
      <c r="O130" s="2">
        <f>RANK(N130,$N$2:$N$245)</f>
        <v>129</v>
      </c>
    </row>
    <row r="131" spans="1:15" x14ac:dyDescent="0.2">
      <c r="A131" t="s">
        <v>16</v>
      </c>
      <c r="B131" t="s">
        <v>25</v>
      </c>
      <c r="C131">
        <v>2</v>
      </c>
      <c r="D131">
        <v>12</v>
      </c>
      <c r="E131">
        <v>2</v>
      </c>
      <c r="F131">
        <v>12</v>
      </c>
      <c r="G131" t="s">
        <v>18</v>
      </c>
      <c r="H131" t="s">
        <v>22</v>
      </c>
      <c r="I131">
        <v>30</v>
      </c>
      <c r="J131" s="2">
        <f>RANK(I131,$I$2:$I$245)</f>
        <v>132</v>
      </c>
      <c r="K131">
        <v>8.36</v>
      </c>
      <c r="L131">
        <v>3.58851674641148</v>
      </c>
      <c r="M131">
        <f>RANK(L131,$L$2:$L$245)</f>
        <v>131</v>
      </c>
      <c r="N131" s="2">
        <f>I131*EXP(-0.1*K131)</f>
        <v>13.003224714495129</v>
      </c>
      <c r="O131" s="2">
        <f>RANK(N131,$N$2:$N$245)</f>
        <v>130</v>
      </c>
    </row>
    <row r="132" spans="1:15" x14ac:dyDescent="0.2">
      <c r="A132" t="s">
        <v>16</v>
      </c>
      <c r="B132" t="s">
        <v>24</v>
      </c>
      <c r="C132">
        <v>5</v>
      </c>
      <c r="D132">
        <v>25</v>
      </c>
      <c r="E132">
        <v>5</v>
      </c>
      <c r="F132">
        <v>25</v>
      </c>
      <c r="G132" t="s">
        <v>18</v>
      </c>
      <c r="H132" t="s">
        <v>22</v>
      </c>
      <c r="I132">
        <v>26</v>
      </c>
      <c r="J132" s="2">
        <f>RANK(I132,$I$2:$I$245)</f>
        <v>134</v>
      </c>
      <c r="K132">
        <v>7.6</v>
      </c>
      <c r="L132">
        <v>3.42105263157895</v>
      </c>
      <c r="M132">
        <f>RANK(L132,$L$2:$L$245)</f>
        <v>132</v>
      </c>
      <c r="N132" s="2">
        <f>I132*EXP(-0.1*K132)</f>
        <v>12.15932710225764</v>
      </c>
      <c r="O132" s="2">
        <f>RANK(N132,$N$2:$N$245)</f>
        <v>131</v>
      </c>
    </row>
    <row r="133" spans="1:15" x14ac:dyDescent="0.2">
      <c r="A133" t="s">
        <v>16</v>
      </c>
      <c r="B133" t="s">
        <v>25</v>
      </c>
      <c r="C133">
        <v>5</v>
      </c>
      <c r="D133">
        <v>25</v>
      </c>
      <c r="E133">
        <v>0</v>
      </c>
      <c r="F133">
        <v>0</v>
      </c>
      <c r="G133" t="s">
        <v>18</v>
      </c>
      <c r="H133" t="s">
        <v>22</v>
      </c>
      <c r="I133">
        <v>18</v>
      </c>
      <c r="J133" s="2">
        <f>RANK(I133,$I$2:$I$245)</f>
        <v>137</v>
      </c>
      <c r="K133">
        <v>4.5</v>
      </c>
      <c r="L133">
        <v>4</v>
      </c>
      <c r="M133">
        <f>RANK(L133,$L$2:$L$245)</f>
        <v>130</v>
      </c>
      <c r="N133" s="2">
        <f>I133*EXP(-0.1*K133)</f>
        <v>11.47730672919192</v>
      </c>
      <c r="O133" s="2">
        <f>RANK(N133,$N$2:$N$245)</f>
        <v>132</v>
      </c>
    </row>
    <row r="134" spans="1:15" x14ac:dyDescent="0.2">
      <c r="A134" t="s">
        <v>16</v>
      </c>
      <c r="B134" t="s">
        <v>25</v>
      </c>
      <c r="C134">
        <v>2</v>
      </c>
      <c r="D134">
        <v>37</v>
      </c>
      <c r="E134">
        <v>2</v>
      </c>
      <c r="F134">
        <v>37</v>
      </c>
      <c r="G134" t="s">
        <v>23</v>
      </c>
      <c r="H134" t="s">
        <v>19</v>
      </c>
      <c r="I134">
        <v>53.008000000000003</v>
      </c>
      <c r="J134" s="2">
        <f>RANK(I134,$I$2:$I$245)</f>
        <v>118</v>
      </c>
      <c r="K134">
        <v>18.079999999999998</v>
      </c>
      <c r="L134">
        <v>2.9318584070796501</v>
      </c>
      <c r="M134">
        <f>RANK(L134,$L$2:$L$245)</f>
        <v>133</v>
      </c>
      <c r="N134" s="2">
        <f>I134*EXP(-0.1*K134)</f>
        <v>8.6923458021344047</v>
      </c>
      <c r="O134" s="2">
        <f>RANK(N134,$N$2:$N$245)</f>
        <v>133</v>
      </c>
    </row>
    <row r="135" spans="1:15" x14ac:dyDescent="0.2">
      <c r="A135" t="s">
        <v>16</v>
      </c>
      <c r="B135" t="s">
        <v>25</v>
      </c>
      <c r="C135">
        <v>5</v>
      </c>
      <c r="D135">
        <v>25</v>
      </c>
      <c r="E135">
        <v>5</v>
      </c>
      <c r="F135">
        <v>25</v>
      </c>
      <c r="G135" t="s">
        <v>18</v>
      </c>
      <c r="H135" t="s">
        <v>22</v>
      </c>
      <c r="I135">
        <v>18</v>
      </c>
      <c r="J135">
        <f>RANK(I135,$I$2:$I$245)</f>
        <v>137</v>
      </c>
      <c r="K135">
        <v>8.1199999999999992</v>
      </c>
      <c r="L135">
        <v>2.2167487684729101</v>
      </c>
      <c r="M135">
        <f>RANK(L135,$L$2:$L$245)</f>
        <v>136</v>
      </c>
      <c r="N135" s="2">
        <f>I135*EXP(-0.1*K135)</f>
        <v>7.9914463058480409</v>
      </c>
      <c r="O135" s="2">
        <f>RANK(N135,$N$2:$N$245)</f>
        <v>134</v>
      </c>
    </row>
    <row r="136" spans="1:15" x14ac:dyDescent="0.2">
      <c r="A136" t="s">
        <v>16</v>
      </c>
      <c r="B136" t="s">
        <v>24</v>
      </c>
      <c r="C136">
        <v>2</v>
      </c>
      <c r="D136">
        <v>50</v>
      </c>
      <c r="E136">
        <v>2</v>
      </c>
      <c r="F136">
        <v>50</v>
      </c>
      <c r="G136" t="s">
        <v>23</v>
      </c>
      <c r="H136" t="s">
        <v>22</v>
      </c>
      <c r="I136">
        <v>58</v>
      </c>
      <c r="J136">
        <f>RANK(I136,$I$2:$I$245)</f>
        <v>110</v>
      </c>
      <c r="K136">
        <v>20.100000000000001</v>
      </c>
      <c r="L136">
        <v>2.8855721393034801</v>
      </c>
      <c r="M136">
        <f>RANK(L136,$L$2:$L$245)</f>
        <v>134</v>
      </c>
      <c r="N136" s="2">
        <f>I136*EXP(-0.1*K136)</f>
        <v>7.7713431307906857</v>
      </c>
      <c r="O136" s="2">
        <f>RANK(N136,$N$2:$N$245)</f>
        <v>135</v>
      </c>
    </row>
    <row r="137" spans="1:15" x14ac:dyDescent="0.2">
      <c r="A137" t="s">
        <v>16</v>
      </c>
      <c r="B137" t="s">
        <v>24</v>
      </c>
      <c r="C137">
        <v>1</v>
      </c>
      <c r="D137">
        <v>25</v>
      </c>
      <c r="E137">
        <v>1</v>
      </c>
      <c r="F137">
        <v>25</v>
      </c>
      <c r="G137" t="s">
        <v>23</v>
      </c>
      <c r="H137" t="s">
        <v>22</v>
      </c>
      <c r="I137">
        <v>54</v>
      </c>
      <c r="J137">
        <f>RANK(I137,$I$2:$I$245)</f>
        <v>116</v>
      </c>
      <c r="K137">
        <v>21.84</v>
      </c>
      <c r="L137">
        <v>2.47252747252747</v>
      </c>
      <c r="M137">
        <f>RANK(L137,$L$2:$L$245)</f>
        <v>135</v>
      </c>
      <c r="N137" s="2">
        <f>I137*EXP(-0.1*K137)</f>
        <v>6.079874452860329</v>
      </c>
      <c r="O137" s="2">
        <f>RANK(N137,$N$2:$N$245)</f>
        <v>136</v>
      </c>
    </row>
    <row r="138" spans="1:15" x14ac:dyDescent="0.2">
      <c r="A138" t="s">
        <v>16</v>
      </c>
      <c r="B138" t="s">
        <v>24</v>
      </c>
      <c r="C138">
        <v>5</v>
      </c>
      <c r="D138">
        <v>75</v>
      </c>
      <c r="E138">
        <v>0</v>
      </c>
      <c r="F138">
        <v>0</v>
      </c>
      <c r="G138" t="s">
        <v>23</v>
      </c>
      <c r="H138" t="s">
        <v>19</v>
      </c>
      <c r="I138">
        <v>12.516</v>
      </c>
      <c r="J138">
        <f>RANK(I138,$I$2:$I$245)</f>
        <v>139</v>
      </c>
      <c r="K138">
        <v>10.92</v>
      </c>
      <c r="L138">
        <v>1.1461538461538501</v>
      </c>
      <c r="M138">
        <f>RANK(L138,$L$2:$L$245)</f>
        <v>139</v>
      </c>
      <c r="N138" s="2">
        <f>I138*EXP(-0.1*K138)</f>
        <v>4.1996778745263015</v>
      </c>
      <c r="O138" s="2">
        <f>RANK(N138,$N$2:$N$245)</f>
        <v>137</v>
      </c>
    </row>
    <row r="139" spans="1:15" x14ac:dyDescent="0.2">
      <c r="A139" t="s">
        <v>16</v>
      </c>
      <c r="B139" t="s">
        <v>25</v>
      </c>
      <c r="C139">
        <v>2</v>
      </c>
      <c r="D139">
        <v>50</v>
      </c>
      <c r="E139">
        <v>2</v>
      </c>
      <c r="F139">
        <v>50</v>
      </c>
      <c r="G139" t="s">
        <v>23</v>
      </c>
      <c r="H139" t="s">
        <v>22</v>
      </c>
      <c r="I139">
        <v>50</v>
      </c>
      <c r="J139">
        <f>RANK(I139,$I$2:$I$245)</f>
        <v>122</v>
      </c>
      <c r="K139">
        <v>25.08</v>
      </c>
      <c r="L139">
        <v>1.9936204146730501</v>
      </c>
      <c r="M139">
        <f>RANK(L139,$L$2:$L$245)</f>
        <v>137</v>
      </c>
      <c r="N139" s="2">
        <f>I139*EXP(-0.1*K139)</f>
        <v>4.0715469182131905</v>
      </c>
      <c r="O139" s="2">
        <f>RANK(N139,$N$2:$N$245)</f>
        <v>138</v>
      </c>
    </row>
    <row r="140" spans="1:15" x14ac:dyDescent="0.2">
      <c r="A140" t="s">
        <v>16</v>
      </c>
      <c r="B140" t="s">
        <v>25</v>
      </c>
      <c r="C140">
        <v>1</v>
      </c>
      <c r="D140">
        <v>25</v>
      </c>
      <c r="E140">
        <v>1</v>
      </c>
      <c r="F140">
        <v>25</v>
      </c>
      <c r="G140" t="s">
        <v>23</v>
      </c>
      <c r="H140" t="s">
        <v>22</v>
      </c>
      <c r="I140">
        <v>44</v>
      </c>
      <c r="J140">
        <f>RANK(I140,$I$2:$I$245)</f>
        <v>128</v>
      </c>
      <c r="K140">
        <v>27.72</v>
      </c>
      <c r="L140">
        <v>1.5873015873015901</v>
      </c>
      <c r="M140">
        <f>RANK(L140,$L$2:$L$245)</f>
        <v>138</v>
      </c>
      <c r="N140" s="2">
        <f>I140*EXP(-0.1*K140)</f>
        <v>2.7516194628195123</v>
      </c>
      <c r="O140" s="2">
        <f>RANK(N140,$N$2:$N$245)</f>
        <v>139</v>
      </c>
    </row>
    <row r="141" spans="1:15" x14ac:dyDescent="0.2">
      <c r="A141" t="s">
        <v>16</v>
      </c>
      <c r="B141" t="s">
        <v>25</v>
      </c>
      <c r="C141">
        <v>5</v>
      </c>
      <c r="D141">
        <v>75</v>
      </c>
      <c r="E141">
        <v>0</v>
      </c>
      <c r="F141">
        <v>0</v>
      </c>
      <c r="G141" t="s">
        <v>23</v>
      </c>
      <c r="H141" t="s">
        <v>19</v>
      </c>
      <c r="I141">
        <v>10.28</v>
      </c>
      <c r="J141">
        <f>RANK(I141,$I$2:$I$245)</f>
        <v>141</v>
      </c>
      <c r="K141">
        <v>13.72</v>
      </c>
      <c r="L141">
        <v>0.74927113702623904</v>
      </c>
      <c r="M141">
        <f>RANK(L141,$L$2:$L$245)</f>
        <v>140</v>
      </c>
      <c r="N141" s="2">
        <f>I141*EXP(-0.1*K141)</f>
        <v>2.6070003260722507</v>
      </c>
      <c r="O141" s="2">
        <f>RANK(N141,$N$2:$N$245)</f>
        <v>140</v>
      </c>
    </row>
    <row r="142" spans="1:15" x14ac:dyDescent="0.2">
      <c r="A142" t="s">
        <v>16</v>
      </c>
      <c r="B142" t="s">
        <v>24</v>
      </c>
      <c r="C142">
        <v>2</v>
      </c>
      <c r="D142">
        <v>50</v>
      </c>
      <c r="E142">
        <v>0</v>
      </c>
      <c r="F142">
        <v>0</v>
      </c>
      <c r="G142" t="s">
        <v>23</v>
      </c>
      <c r="H142" t="s">
        <v>22</v>
      </c>
      <c r="I142">
        <v>10</v>
      </c>
      <c r="J142">
        <f>RANK(I142,$I$2:$I$245)</f>
        <v>142</v>
      </c>
      <c r="K142">
        <v>19.64</v>
      </c>
      <c r="L142">
        <v>0.50916496945010203</v>
      </c>
      <c r="M142">
        <f>RANK(L142,$L$2:$L$245)</f>
        <v>141</v>
      </c>
      <c r="N142" s="2">
        <f>I142*EXP(-0.1*K142)</f>
        <v>1.4029611260373962</v>
      </c>
      <c r="O142" s="2">
        <f>RANK(N142,$N$2:$N$245)</f>
        <v>141</v>
      </c>
    </row>
    <row r="143" spans="1:15" x14ac:dyDescent="0.2">
      <c r="A143" t="s">
        <v>16</v>
      </c>
      <c r="B143" t="s">
        <v>24</v>
      </c>
      <c r="C143">
        <v>2</v>
      </c>
      <c r="D143">
        <v>25</v>
      </c>
      <c r="E143">
        <v>2</v>
      </c>
      <c r="F143">
        <v>25</v>
      </c>
      <c r="G143" t="s">
        <v>23</v>
      </c>
      <c r="H143" t="s">
        <v>19</v>
      </c>
      <c r="I143">
        <v>11.6</v>
      </c>
      <c r="J143">
        <f>RANK(I143,$I$2:$I$245)</f>
        <v>140</v>
      </c>
      <c r="K143">
        <v>23.42</v>
      </c>
      <c r="L143">
        <v>0.49530315969256999</v>
      </c>
      <c r="M143">
        <f>RANK(L143,$L$2:$L$245)</f>
        <v>142</v>
      </c>
      <c r="N143" s="2">
        <f>I143*EXP(-0.1*K143)</f>
        <v>1.1151680355788556</v>
      </c>
      <c r="O143" s="2">
        <f>RANK(N143,$N$2:$N$245)</f>
        <v>142</v>
      </c>
    </row>
    <row r="144" spans="1:15" x14ac:dyDescent="0.2">
      <c r="A144" t="s">
        <v>16</v>
      </c>
      <c r="B144" t="s">
        <v>24</v>
      </c>
      <c r="C144">
        <v>1</v>
      </c>
      <c r="D144">
        <v>12</v>
      </c>
      <c r="E144">
        <v>1</v>
      </c>
      <c r="F144">
        <v>12</v>
      </c>
      <c r="G144" t="s">
        <v>23</v>
      </c>
      <c r="H144" t="s">
        <v>19</v>
      </c>
      <c r="I144">
        <v>6.2880000000000003</v>
      </c>
      <c r="J144">
        <f>RANK(I144,$I$2:$I$245)</f>
        <v>143</v>
      </c>
      <c r="K144">
        <v>19.420000000000002</v>
      </c>
      <c r="L144">
        <v>0.32378990731204899</v>
      </c>
      <c r="M144">
        <f>RANK(L144,$L$2:$L$245)</f>
        <v>143</v>
      </c>
      <c r="N144" s="2">
        <f>I144*EXP(-0.1*K144)</f>
        <v>0.90180502134645213</v>
      </c>
      <c r="O144" s="2">
        <f>RANK(N144,$N$2:$N$245)</f>
        <v>143</v>
      </c>
    </row>
    <row r="145" spans="1:15" x14ac:dyDescent="0.2">
      <c r="A145" t="s">
        <v>16</v>
      </c>
      <c r="B145" t="s">
        <v>25</v>
      </c>
      <c r="C145">
        <v>2</v>
      </c>
      <c r="D145">
        <v>25</v>
      </c>
      <c r="E145">
        <v>2</v>
      </c>
      <c r="F145">
        <v>25</v>
      </c>
      <c r="G145" t="s">
        <v>23</v>
      </c>
      <c r="H145" t="s">
        <v>19</v>
      </c>
      <c r="I145">
        <v>4.452</v>
      </c>
      <c r="J145">
        <f>RANK(I145,$I$2:$I$245)</f>
        <v>144</v>
      </c>
      <c r="K145">
        <v>24.46</v>
      </c>
      <c r="L145">
        <v>0.18201144726083399</v>
      </c>
      <c r="M145">
        <f>RANK(L145,$L$2:$L$245)</f>
        <v>144</v>
      </c>
      <c r="N145" s="2">
        <f>I145*EXP(-0.1*K145)</f>
        <v>0.38571884081796604</v>
      </c>
      <c r="O145" s="2">
        <f>RANK(N145,$N$2:$N$245)</f>
        <v>144</v>
      </c>
    </row>
    <row r="146" spans="1:15" x14ac:dyDescent="0.2">
      <c r="A146" t="s">
        <v>16</v>
      </c>
      <c r="B146" t="s">
        <v>24</v>
      </c>
      <c r="C146">
        <v>2</v>
      </c>
      <c r="D146">
        <v>25</v>
      </c>
      <c r="E146">
        <v>0</v>
      </c>
      <c r="F146">
        <v>0</v>
      </c>
      <c r="G146" t="s">
        <v>23</v>
      </c>
      <c r="H146" t="s">
        <v>19</v>
      </c>
      <c r="I146">
        <v>0.77600000000000002</v>
      </c>
      <c r="J146">
        <f>RANK(I146,$I$2:$I$245)</f>
        <v>146</v>
      </c>
      <c r="K146">
        <v>12.34</v>
      </c>
      <c r="L146">
        <v>6.2884927066450602E-2</v>
      </c>
      <c r="M146">
        <f>RANK(L146,$L$2:$L$245)</f>
        <v>146</v>
      </c>
      <c r="N146" s="2">
        <f>I146*EXP(-0.1*K146)</f>
        <v>0.22591357625456213</v>
      </c>
      <c r="O146" s="2">
        <f>RANK(N146,$N$2:$N$245)</f>
        <v>145</v>
      </c>
    </row>
    <row r="147" spans="1:15" x14ac:dyDescent="0.2">
      <c r="A147" t="s">
        <v>16</v>
      </c>
      <c r="B147" t="s">
        <v>25</v>
      </c>
      <c r="C147">
        <v>1</v>
      </c>
      <c r="D147">
        <v>12</v>
      </c>
      <c r="E147">
        <v>1</v>
      </c>
      <c r="F147">
        <v>12</v>
      </c>
      <c r="G147" t="s">
        <v>23</v>
      </c>
      <c r="H147" t="s">
        <v>19</v>
      </c>
      <c r="I147">
        <v>1.484</v>
      </c>
      <c r="J147">
        <f>RANK(I147,$I$2:$I$245)</f>
        <v>145</v>
      </c>
      <c r="K147">
        <v>23.38</v>
      </c>
      <c r="L147">
        <v>6.3473053892215595E-2</v>
      </c>
      <c r="M147">
        <f>RANK(L147,$L$2:$L$245)</f>
        <v>145</v>
      </c>
      <c r="N147" s="2">
        <f>I147*EXP(-0.1*K147)</f>
        <v>0.14323640165544563</v>
      </c>
      <c r="O147" s="2">
        <f>RANK(N147,$N$2:$N$245)</f>
        <v>146</v>
      </c>
    </row>
    <row r="148" spans="1:15" x14ac:dyDescent="0.2">
      <c r="A148" t="s">
        <v>16</v>
      </c>
      <c r="B148" t="s">
        <v>24</v>
      </c>
      <c r="C148">
        <v>5</v>
      </c>
      <c r="D148">
        <v>50</v>
      </c>
      <c r="E148">
        <v>5</v>
      </c>
      <c r="F148">
        <v>50</v>
      </c>
      <c r="G148" t="s">
        <v>23</v>
      </c>
      <c r="H148" t="s">
        <v>19</v>
      </c>
      <c r="I148">
        <v>0.32800000000000001</v>
      </c>
      <c r="J148">
        <f>RANK(I148,$I$2:$I$245)</f>
        <v>147</v>
      </c>
      <c r="K148">
        <v>19.940000000000001</v>
      </c>
      <c r="L148">
        <v>1.6449348044132402E-2</v>
      </c>
      <c r="M148">
        <f>RANK(L148,$L$2:$L$245)</f>
        <v>147</v>
      </c>
      <c r="N148" s="2">
        <f>I148*EXP(-0.1*K148)</f>
        <v>4.4657113358969804E-2</v>
      </c>
      <c r="O148" s="2">
        <f>RANK(N148,$N$2:$N$245)</f>
        <v>147</v>
      </c>
    </row>
    <row r="149" spans="1:15" x14ac:dyDescent="0.2">
      <c r="A149" t="s">
        <v>16</v>
      </c>
      <c r="B149" t="s">
        <v>25</v>
      </c>
      <c r="C149">
        <v>2</v>
      </c>
      <c r="D149">
        <v>25</v>
      </c>
      <c r="E149">
        <v>0</v>
      </c>
      <c r="F149">
        <v>0</v>
      </c>
      <c r="G149" t="s">
        <v>23</v>
      </c>
      <c r="H149" t="s">
        <v>19</v>
      </c>
      <c r="I149">
        <v>0.04</v>
      </c>
      <c r="J149">
        <f>RANK(I149,$I$2:$I$245)</f>
        <v>149</v>
      </c>
      <c r="K149">
        <v>12.5</v>
      </c>
      <c r="L149">
        <v>3.2000000000000002E-3</v>
      </c>
      <c r="M149">
        <f>RANK(L149,$L$2:$L$245)</f>
        <v>148</v>
      </c>
      <c r="N149" s="2">
        <f>I149*EXP(-0.1*K149)</f>
        <v>1.1460191874407603E-2</v>
      </c>
      <c r="O149" s="2">
        <f>RANK(N149,$N$2:$N$245)</f>
        <v>148</v>
      </c>
    </row>
    <row r="150" spans="1:15" x14ac:dyDescent="0.2">
      <c r="A150" t="s">
        <v>16</v>
      </c>
      <c r="B150" t="s">
        <v>25</v>
      </c>
      <c r="C150">
        <v>5</v>
      </c>
      <c r="D150">
        <v>50</v>
      </c>
      <c r="E150">
        <v>5</v>
      </c>
      <c r="F150">
        <v>50</v>
      </c>
      <c r="G150" t="s">
        <v>23</v>
      </c>
      <c r="H150" t="s">
        <v>19</v>
      </c>
      <c r="I150">
        <v>5.1999999999999998E-2</v>
      </c>
      <c r="J150" s="2">
        <f>RANK(I150,$I$2:$I$245)</f>
        <v>148</v>
      </c>
      <c r="K150">
        <v>20</v>
      </c>
      <c r="L150">
        <v>2.5999999999999999E-3</v>
      </c>
      <c r="M150">
        <f>RANK(L150,$L$2:$L$245)</f>
        <v>149</v>
      </c>
      <c r="N150" s="2">
        <f>I150*EXP(-0.1*K150)</f>
        <v>7.0374347283038603E-3</v>
      </c>
      <c r="O150" s="2">
        <f>RANK(N150,$N$2:$N$245)</f>
        <v>149</v>
      </c>
    </row>
    <row r="151" spans="1:15" x14ac:dyDescent="0.2">
      <c r="A151" t="s">
        <v>16</v>
      </c>
      <c r="B151" t="s">
        <v>17</v>
      </c>
      <c r="C151">
        <v>0</v>
      </c>
      <c r="D151">
        <v>0</v>
      </c>
      <c r="E151">
        <v>0</v>
      </c>
      <c r="F151">
        <v>0</v>
      </c>
      <c r="G151" t="s">
        <v>18</v>
      </c>
      <c r="H151" t="s">
        <v>22</v>
      </c>
      <c r="I151">
        <v>0</v>
      </c>
      <c r="J151">
        <f>RANK(I151,$I$2:$I$245)</f>
        <v>150</v>
      </c>
      <c r="K151">
        <v>0</v>
      </c>
      <c r="L151">
        <f>I151/J151</f>
        <v>0</v>
      </c>
      <c r="M151">
        <f>RANK(L151,$L$2:$L$245)</f>
        <v>150</v>
      </c>
      <c r="N151" s="2">
        <f>I151*EXP(-0.1*K151)</f>
        <v>0</v>
      </c>
      <c r="O151" s="2">
        <f>RANK(N151,$N$2:$N$245)</f>
        <v>150</v>
      </c>
    </row>
    <row r="152" spans="1:15" x14ac:dyDescent="0.2">
      <c r="A152" t="s">
        <v>16</v>
      </c>
      <c r="B152" t="s">
        <v>17</v>
      </c>
      <c r="C152">
        <v>0</v>
      </c>
      <c r="D152">
        <v>0</v>
      </c>
      <c r="E152">
        <v>0</v>
      </c>
      <c r="F152">
        <v>0</v>
      </c>
      <c r="G152" t="s">
        <v>23</v>
      </c>
      <c r="H152" t="s">
        <v>22</v>
      </c>
      <c r="I152">
        <v>0</v>
      </c>
      <c r="J152">
        <f>RANK(I152,$I$2:$I$245)</f>
        <v>150</v>
      </c>
      <c r="K152">
        <v>0</v>
      </c>
      <c r="L152">
        <f>I152/J152</f>
        <v>0</v>
      </c>
      <c r="M152">
        <f>RANK(L152,$L$2:$L$245)</f>
        <v>150</v>
      </c>
      <c r="N152" s="2">
        <f>I152*EXP(-0.1*K152)</f>
        <v>0</v>
      </c>
      <c r="O152" s="2">
        <f>RANK(N152,$N$2:$N$245)</f>
        <v>150</v>
      </c>
    </row>
    <row r="153" spans="1:15" x14ac:dyDescent="0.2">
      <c r="A153" t="s">
        <v>16</v>
      </c>
      <c r="B153" t="s">
        <v>17</v>
      </c>
      <c r="C153">
        <v>0</v>
      </c>
      <c r="D153">
        <v>0</v>
      </c>
      <c r="E153">
        <v>5</v>
      </c>
      <c r="F153">
        <v>25</v>
      </c>
      <c r="G153" t="s">
        <v>18</v>
      </c>
      <c r="H153" t="s">
        <v>22</v>
      </c>
      <c r="I153">
        <v>0</v>
      </c>
      <c r="J153">
        <f>RANK(I153,$I$2:$I$245)</f>
        <v>150</v>
      </c>
      <c r="K153">
        <v>5</v>
      </c>
      <c r="L153">
        <v>0</v>
      </c>
      <c r="M153">
        <f>RANK(L153,$L$2:$L$245)</f>
        <v>150</v>
      </c>
      <c r="N153" s="2">
        <f>I153*EXP(-0.1*K153)</f>
        <v>0</v>
      </c>
      <c r="O153" s="2">
        <f>RANK(N153,$N$2:$N$245)</f>
        <v>150</v>
      </c>
    </row>
    <row r="154" spans="1:15" x14ac:dyDescent="0.2">
      <c r="A154" t="s">
        <v>16</v>
      </c>
      <c r="B154" t="s">
        <v>17</v>
      </c>
      <c r="C154">
        <v>0</v>
      </c>
      <c r="D154">
        <v>0</v>
      </c>
      <c r="E154">
        <v>5</v>
      </c>
      <c r="F154">
        <v>25</v>
      </c>
      <c r="G154" t="s">
        <v>23</v>
      </c>
      <c r="H154" t="s">
        <v>22</v>
      </c>
      <c r="I154">
        <v>0</v>
      </c>
      <c r="J154">
        <f>RANK(I154,$I$2:$I$245)</f>
        <v>150</v>
      </c>
      <c r="K154">
        <v>5</v>
      </c>
      <c r="L154">
        <v>0</v>
      </c>
      <c r="M154">
        <f>RANK(L154,$L$2:$L$245)</f>
        <v>150</v>
      </c>
      <c r="N154" s="2">
        <f>I154*EXP(-0.1*K154)</f>
        <v>0</v>
      </c>
      <c r="O154" s="2">
        <f>RANK(N154,$N$2:$N$245)</f>
        <v>150</v>
      </c>
    </row>
    <row r="155" spans="1:15" x14ac:dyDescent="0.2">
      <c r="A155" t="s">
        <v>16</v>
      </c>
      <c r="B155" t="s">
        <v>17</v>
      </c>
      <c r="C155">
        <v>0</v>
      </c>
      <c r="D155">
        <v>0</v>
      </c>
      <c r="E155">
        <v>5</v>
      </c>
      <c r="F155">
        <v>50</v>
      </c>
      <c r="G155" t="s">
        <v>18</v>
      </c>
      <c r="H155" t="s">
        <v>22</v>
      </c>
      <c r="I155">
        <v>0</v>
      </c>
      <c r="J155">
        <f>RANK(I155,$I$2:$I$245)</f>
        <v>150</v>
      </c>
      <c r="K155">
        <v>10</v>
      </c>
      <c r="L155">
        <v>0</v>
      </c>
      <c r="M155">
        <f>RANK(L155,$L$2:$L$245)</f>
        <v>150</v>
      </c>
      <c r="N155" s="2">
        <f>I155*EXP(-0.1*K155)</f>
        <v>0</v>
      </c>
      <c r="O155" s="2">
        <f>RANK(N155,$N$2:$N$245)</f>
        <v>150</v>
      </c>
    </row>
    <row r="156" spans="1:15" x14ac:dyDescent="0.2">
      <c r="A156" t="s">
        <v>16</v>
      </c>
      <c r="B156" t="s">
        <v>17</v>
      </c>
      <c r="C156">
        <v>0</v>
      </c>
      <c r="D156">
        <v>0</v>
      </c>
      <c r="E156">
        <v>5</v>
      </c>
      <c r="F156">
        <v>50</v>
      </c>
      <c r="G156" t="s">
        <v>23</v>
      </c>
      <c r="H156" t="s">
        <v>22</v>
      </c>
      <c r="I156">
        <v>0</v>
      </c>
      <c r="J156">
        <f>RANK(I156,$I$2:$I$245)</f>
        <v>150</v>
      </c>
      <c r="K156">
        <v>10</v>
      </c>
      <c r="L156">
        <v>0</v>
      </c>
      <c r="M156">
        <f>RANK(L156,$L$2:$L$245)</f>
        <v>150</v>
      </c>
      <c r="N156" s="2">
        <f>I156*EXP(-0.1*K156)</f>
        <v>0</v>
      </c>
      <c r="O156" s="2">
        <f>RANK(N156,$N$2:$N$245)</f>
        <v>150</v>
      </c>
    </row>
    <row r="157" spans="1:15" x14ac:dyDescent="0.2">
      <c r="A157" t="s">
        <v>16</v>
      </c>
      <c r="B157" t="s">
        <v>24</v>
      </c>
      <c r="C157">
        <v>5</v>
      </c>
      <c r="D157">
        <v>12</v>
      </c>
      <c r="E157">
        <v>5</v>
      </c>
      <c r="F157">
        <v>12</v>
      </c>
      <c r="G157" t="s">
        <v>18</v>
      </c>
      <c r="H157" t="s">
        <v>22</v>
      </c>
      <c r="I157">
        <v>0</v>
      </c>
      <c r="J157">
        <f>RANK(I157,$I$2:$I$245)</f>
        <v>150</v>
      </c>
      <c r="K157">
        <v>4.8</v>
      </c>
      <c r="L157">
        <v>0</v>
      </c>
      <c r="M157">
        <f>RANK(L157,$L$2:$L$245)</f>
        <v>150</v>
      </c>
      <c r="N157" s="2">
        <f>I157*EXP(-0.1*K157)</f>
        <v>0</v>
      </c>
      <c r="O157" s="2">
        <f>RANK(N157,$N$2:$N$245)</f>
        <v>150</v>
      </c>
    </row>
    <row r="158" spans="1:15" x14ac:dyDescent="0.2">
      <c r="A158" t="s">
        <v>16</v>
      </c>
      <c r="B158" t="s">
        <v>17</v>
      </c>
      <c r="C158">
        <v>0</v>
      </c>
      <c r="D158">
        <v>0</v>
      </c>
      <c r="E158">
        <v>2</v>
      </c>
      <c r="F158">
        <v>25</v>
      </c>
      <c r="G158" t="s">
        <v>18</v>
      </c>
      <c r="H158" t="s">
        <v>22</v>
      </c>
      <c r="I158">
        <v>0</v>
      </c>
      <c r="J158">
        <f>RANK(I158,$I$2:$I$245)</f>
        <v>150</v>
      </c>
      <c r="K158">
        <v>12.5</v>
      </c>
      <c r="L158">
        <v>0</v>
      </c>
      <c r="M158">
        <f>RANK(L158,$L$2:$L$245)</f>
        <v>150</v>
      </c>
      <c r="N158" s="2">
        <f>I158*EXP(-0.1*K158)</f>
        <v>0</v>
      </c>
      <c r="O158" s="2">
        <f>RANK(N158,$N$2:$N$245)</f>
        <v>150</v>
      </c>
    </row>
    <row r="159" spans="1:15" x14ac:dyDescent="0.2">
      <c r="A159" t="s">
        <v>16</v>
      </c>
      <c r="B159" t="s">
        <v>25</v>
      </c>
      <c r="C159">
        <v>5</v>
      </c>
      <c r="D159">
        <v>12</v>
      </c>
      <c r="E159">
        <v>5</v>
      </c>
      <c r="F159">
        <v>12</v>
      </c>
      <c r="G159" t="s">
        <v>18</v>
      </c>
      <c r="H159" t="s">
        <v>22</v>
      </c>
      <c r="I159">
        <v>0</v>
      </c>
      <c r="J159">
        <f>RANK(I159,$I$2:$I$245)</f>
        <v>150</v>
      </c>
      <c r="K159">
        <v>4.8</v>
      </c>
      <c r="L159">
        <v>0</v>
      </c>
      <c r="M159">
        <f>RANK(L159,$L$2:$L$245)</f>
        <v>150</v>
      </c>
      <c r="N159" s="2">
        <f>I159*EXP(-0.1*K159)</f>
        <v>0</v>
      </c>
      <c r="O159" s="2">
        <f>RANK(N159,$N$2:$N$245)</f>
        <v>150</v>
      </c>
    </row>
    <row r="160" spans="1:15" x14ac:dyDescent="0.2">
      <c r="A160" t="s">
        <v>16</v>
      </c>
      <c r="B160" t="s">
        <v>17</v>
      </c>
      <c r="C160">
        <v>0</v>
      </c>
      <c r="D160">
        <v>0</v>
      </c>
      <c r="E160">
        <v>2</v>
      </c>
      <c r="F160">
        <v>25</v>
      </c>
      <c r="G160" t="s">
        <v>23</v>
      </c>
      <c r="H160" t="s">
        <v>22</v>
      </c>
      <c r="I160">
        <v>0</v>
      </c>
      <c r="J160">
        <f>RANK(I160,$I$2:$I$245)</f>
        <v>150</v>
      </c>
      <c r="K160">
        <v>12.5</v>
      </c>
      <c r="L160">
        <v>0</v>
      </c>
      <c r="M160">
        <f>RANK(L160,$L$2:$L$245)</f>
        <v>150</v>
      </c>
      <c r="N160" s="2">
        <f>I160*EXP(-0.1*K160)</f>
        <v>0</v>
      </c>
      <c r="O160" s="2">
        <f>RANK(N160,$N$2:$N$245)</f>
        <v>150</v>
      </c>
    </row>
    <row r="161" spans="1:15" x14ac:dyDescent="0.2">
      <c r="A161" t="s">
        <v>16</v>
      </c>
      <c r="B161" t="s">
        <v>24</v>
      </c>
      <c r="C161">
        <v>5</v>
      </c>
      <c r="D161">
        <v>12</v>
      </c>
      <c r="E161">
        <v>5</v>
      </c>
      <c r="F161">
        <v>12</v>
      </c>
      <c r="G161" t="s">
        <v>23</v>
      </c>
      <c r="H161" t="s">
        <v>22</v>
      </c>
      <c r="I161">
        <v>0</v>
      </c>
      <c r="J161">
        <f>RANK(I161,$I$2:$I$245)</f>
        <v>150</v>
      </c>
      <c r="K161">
        <v>4.8</v>
      </c>
      <c r="L161">
        <v>0</v>
      </c>
      <c r="M161">
        <f>RANK(L161,$L$2:$L$245)</f>
        <v>150</v>
      </c>
      <c r="N161" s="2">
        <f>I161*EXP(-0.1*K161)</f>
        <v>0</v>
      </c>
      <c r="O161" s="2">
        <f>RANK(N161,$N$2:$N$245)</f>
        <v>150</v>
      </c>
    </row>
    <row r="162" spans="1:15" x14ac:dyDescent="0.2">
      <c r="A162" t="s">
        <v>16</v>
      </c>
      <c r="B162" t="s">
        <v>25</v>
      </c>
      <c r="C162">
        <v>5</v>
      </c>
      <c r="D162">
        <v>12</v>
      </c>
      <c r="E162">
        <v>5</v>
      </c>
      <c r="F162">
        <v>12</v>
      </c>
      <c r="G162" t="s">
        <v>23</v>
      </c>
      <c r="H162" t="s">
        <v>22</v>
      </c>
      <c r="I162">
        <v>0</v>
      </c>
      <c r="J162" s="2">
        <f>RANK(I162,$I$2:$I$245)</f>
        <v>150</v>
      </c>
      <c r="K162">
        <v>4.8</v>
      </c>
      <c r="L162">
        <v>0</v>
      </c>
      <c r="M162">
        <f>RANK(L162,$L$2:$L$245)</f>
        <v>150</v>
      </c>
      <c r="N162" s="2">
        <f>I162*EXP(-0.1*K162)</f>
        <v>0</v>
      </c>
      <c r="O162" s="2">
        <f>RANK(N162,$N$2:$N$245)</f>
        <v>150</v>
      </c>
    </row>
    <row r="163" spans="1:15" x14ac:dyDescent="0.2">
      <c r="A163" t="s">
        <v>16</v>
      </c>
      <c r="B163" t="s">
        <v>24</v>
      </c>
      <c r="C163">
        <v>5</v>
      </c>
      <c r="D163">
        <v>25</v>
      </c>
      <c r="E163">
        <v>0</v>
      </c>
      <c r="F163">
        <v>0</v>
      </c>
      <c r="G163" t="s">
        <v>23</v>
      </c>
      <c r="H163" t="s">
        <v>22</v>
      </c>
      <c r="I163">
        <v>0</v>
      </c>
      <c r="J163">
        <f>RANK(I163,$I$2:$I$245)</f>
        <v>150</v>
      </c>
      <c r="K163">
        <v>5</v>
      </c>
      <c r="L163">
        <v>0</v>
      </c>
      <c r="M163">
        <f>RANK(L163,$L$2:$L$245)</f>
        <v>150</v>
      </c>
      <c r="N163" s="2">
        <f>I163*EXP(-0.1*K163)</f>
        <v>0</v>
      </c>
      <c r="O163" s="2">
        <f>RANK(N163,$N$2:$N$245)</f>
        <v>150</v>
      </c>
    </row>
    <row r="164" spans="1:15" x14ac:dyDescent="0.2">
      <c r="A164" t="s">
        <v>16</v>
      </c>
      <c r="B164" t="s">
        <v>25</v>
      </c>
      <c r="C164">
        <v>5</v>
      </c>
      <c r="D164">
        <v>25</v>
      </c>
      <c r="E164">
        <v>0</v>
      </c>
      <c r="F164">
        <v>0</v>
      </c>
      <c r="G164" t="s">
        <v>23</v>
      </c>
      <c r="H164" t="s">
        <v>22</v>
      </c>
      <c r="I164">
        <v>0</v>
      </c>
      <c r="J164">
        <f>RANK(I164,$I$2:$I$245)</f>
        <v>150</v>
      </c>
      <c r="K164">
        <v>5</v>
      </c>
      <c r="L164">
        <v>0</v>
      </c>
      <c r="M164">
        <f>RANK(L164,$L$2:$L$245)</f>
        <v>150</v>
      </c>
      <c r="N164" s="2">
        <f>I164*EXP(-0.1*K164)</f>
        <v>0</v>
      </c>
      <c r="O164" s="2">
        <f>RANK(N164,$N$2:$N$245)</f>
        <v>150</v>
      </c>
    </row>
    <row r="165" spans="1:15" x14ac:dyDescent="0.2">
      <c r="A165" t="s">
        <v>16</v>
      </c>
      <c r="B165" t="s">
        <v>24</v>
      </c>
      <c r="C165">
        <v>5</v>
      </c>
      <c r="D165">
        <v>50</v>
      </c>
      <c r="E165">
        <v>0</v>
      </c>
      <c r="F165">
        <v>0</v>
      </c>
      <c r="G165" t="s">
        <v>23</v>
      </c>
      <c r="H165" t="s">
        <v>22</v>
      </c>
      <c r="I165">
        <v>0</v>
      </c>
      <c r="J165">
        <f>RANK(I165,$I$2:$I$245)</f>
        <v>150</v>
      </c>
      <c r="K165">
        <v>10</v>
      </c>
      <c r="L165">
        <v>0</v>
      </c>
      <c r="M165">
        <f>RANK(L165,$L$2:$L$245)</f>
        <v>150</v>
      </c>
      <c r="N165" s="2">
        <f>I165*EXP(-0.1*K165)</f>
        <v>0</v>
      </c>
      <c r="O165" s="2">
        <f>RANK(N165,$N$2:$N$245)</f>
        <v>150</v>
      </c>
    </row>
    <row r="166" spans="1:15" x14ac:dyDescent="0.2">
      <c r="A166" t="s">
        <v>16</v>
      </c>
      <c r="B166" t="s">
        <v>24</v>
      </c>
      <c r="C166">
        <v>5</v>
      </c>
      <c r="D166">
        <v>25</v>
      </c>
      <c r="E166">
        <v>5</v>
      </c>
      <c r="F166">
        <v>25</v>
      </c>
      <c r="G166" t="s">
        <v>23</v>
      </c>
      <c r="H166" t="s">
        <v>22</v>
      </c>
      <c r="I166">
        <v>0</v>
      </c>
      <c r="J166">
        <f>RANK(I166,$I$2:$I$245)</f>
        <v>150</v>
      </c>
      <c r="K166">
        <v>10</v>
      </c>
      <c r="L166">
        <v>0</v>
      </c>
      <c r="M166">
        <f>RANK(L166,$L$2:$L$245)</f>
        <v>150</v>
      </c>
      <c r="N166" s="2">
        <f>I166*EXP(-0.1*K166)</f>
        <v>0</v>
      </c>
      <c r="O166" s="2">
        <f>RANK(N166,$N$2:$N$245)</f>
        <v>150</v>
      </c>
    </row>
    <row r="167" spans="1:15" x14ac:dyDescent="0.2">
      <c r="A167" t="s">
        <v>16</v>
      </c>
      <c r="B167" t="s">
        <v>17</v>
      </c>
      <c r="C167">
        <v>0</v>
      </c>
      <c r="D167">
        <v>0</v>
      </c>
      <c r="E167">
        <v>5</v>
      </c>
      <c r="F167">
        <v>75</v>
      </c>
      <c r="G167" t="s">
        <v>18</v>
      </c>
      <c r="H167" t="s">
        <v>22</v>
      </c>
      <c r="I167">
        <v>0</v>
      </c>
      <c r="J167">
        <f>RANK(I167,$I$2:$I$245)</f>
        <v>150</v>
      </c>
      <c r="K167">
        <v>15</v>
      </c>
      <c r="L167">
        <v>0</v>
      </c>
      <c r="M167">
        <f>RANK(L167,$L$2:$L$245)</f>
        <v>150</v>
      </c>
      <c r="N167" s="2">
        <f>I167*EXP(-0.1*K167)</f>
        <v>0</v>
      </c>
      <c r="O167" s="2">
        <f>RANK(N167,$N$2:$N$245)</f>
        <v>150</v>
      </c>
    </row>
    <row r="168" spans="1:15" x14ac:dyDescent="0.2">
      <c r="A168" t="s">
        <v>16</v>
      </c>
      <c r="B168" t="s">
        <v>25</v>
      </c>
      <c r="C168">
        <v>5</v>
      </c>
      <c r="D168">
        <v>50</v>
      </c>
      <c r="E168">
        <v>0</v>
      </c>
      <c r="F168">
        <v>0</v>
      </c>
      <c r="G168" t="s">
        <v>23</v>
      </c>
      <c r="H168" t="s">
        <v>22</v>
      </c>
      <c r="I168">
        <v>0</v>
      </c>
      <c r="J168">
        <f>RANK(I168,$I$2:$I$245)</f>
        <v>150</v>
      </c>
      <c r="K168">
        <v>10</v>
      </c>
      <c r="L168">
        <v>0</v>
      </c>
      <c r="M168">
        <f>RANK(L168,$L$2:$L$245)</f>
        <v>150</v>
      </c>
      <c r="N168" s="2">
        <f>I168*EXP(-0.1*K168)</f>
        <v>0</v>
      </c>
      <c r="O168" s="2">
        <f>RANK(N168,$N$2:$N$245)</f>
        <v>150</v>
      </c>
    </row>
    <row r="169" spans="1:15" x14ac:dyDescent="0.2">
      <c r="A169" t="s">
        <v>16</v>
      </c>
      <c r="B169" t="s">
        <v>17</v>
      </c>
      <c r="C169">
        <v>0</v>
      </c>
      <c r="D169">
        <v>0</v>
      </c>
      <c r="E169">
        <v>5</v>
      </c>
      <c r="F169">
        <v>75</v>
      </c>
      <c r="G169" t="s">
        <v>23</v>
      </c>
      <c r="H169" t="s">
        <v>22</v>
      </c>
      <c r="I169">
        <v>0</v>
      </c>
      <c r="J169" s="2">
        <f>RANK(I169,$I$2:$I$245)</f>
        <v>150</v>
      </c>
      <c r="K169">
        <v>15</v>
      </c>
      <c r="L169">
        <v>0</v>
      </c>
      <c r="M169">
        <f>RANK(L169,$L$2:$L$245)</f>
        <v>150</v>
      </c>
      <c r="N169" s="2">
        <f>I169*EXP(-0.1*K169)</f>
        <v>0</v>
      </c>
      <c r="O169" s="2">
        <f>RANK(N169,$N$2:$N$245)</f>
        <v>150</v>
      </c>
    </row>
    <row r="170" spans="1:15" x14ac:dyDescent="0.2">
      <c r="A170" t="s">
        <v>16</v>
      </c>
      <c r="B170" t="s">
        <v>25</v>
      </c>
      <c r="C170">
        <v>5</v>
      </c>
      <c r="D170">
        <v>25</v>
      </c>
      <c r="E170">
        <v>5</v>
      </c>
      <c r="F170">
        <v>25</v>
      </c>
      <c r="G170" t="s">
        <v>23</v>
      </c>
      <c r="H170" t="s">
        <v>22</v>
      </c>
      <c r="I170">
        <v>0</v>
      </c>
      <c r="J170" s="2">
        <f>RANK(I170,$I$2:$I$245)</f>
        <v>150</v>
      </c>
      <c r="K170">
        <v>10</v>
      </c>
      <c r="L170">
        <v>0</v>
      </c>
      <c r="M170">
        <f>RANK(L170,$L$2:$L$245)</f>
        <v>150</v>
      </c>
      <c r="N170" s="2">
        <f>I170*EXP(-0.1*K170)</f>
        <v>0</v>
      </c>
      <c r="O170" s="2">
        <f>RANK(N170,$N$2:$N$245)</f>
        <v>150</v>
      </c>
    </row>
    <row r="171" spans="1:15" x14ac:dyDescent="0.2">
      <c r="A171" t="s">
        <v>16</v>
      </c>
      <c r="B171" t="s">
        <v>24</v>
      </c>
      <c r="C171">
        <v>2</v>
      </c>
      <c r="D171">
        <v>12</v>
      </c>
      <c r="E171">
        <v>2</v>
      </c>
      <c r="F171">
        <v>12</v>
      </c>
      <c r="G171" t="s">
        <v>23</v>
      </c>
      <c r="H171" t="s">
        <v>22</v>
      </c>
      <c r="I171">
        <v>0</v>
      </c>
      <c r="J171">
        <f>RANK(I171,$I$2:$I$245)</f>
        <v>150</v>
      </c>
      <c r="K171">
        <v>12</v>
      </c>
      <c r="L171">
        <v>0</v>
      </c>
      <c r="M171">
        <f>RANK(L171,$L$2:$L$245)</f>
        <v>150</v>
      </c>
      <c r="N171" s="2">
        <f>I171*EXP(-0.1*K171)</f>
        <v>0</v>
      </c>
      <c r="O171" s="2">
        <f>RANK(N171,$N$2:$N$245)</f>
        <v>150</v>
      </c>
    </row>
    <row r="172" spans="1:15" x14ac:dyDescent="0.2">
      <c r="A172" t="s">
        <v>16</v>
      </c>
      <c r="B172" t="s">
        <v>25</v>
      </c>
      <c r="C172">
        <v>2</v>
      </c>
      <c r="D172">
        <v>12</v>
      </c>
      <c r="E172">
        <v>2</v>
      </c>
      <c r="F172">
        <v>12</v>
      </c>
      <c r="G172" t="s">
        <v>23</v>
      </c>
      <c r="H172" t="s">
        <v>22</v>
      </c>
      <c r="I172">
        <v>0</v>
      </c>
      <c r="J172">
        <f>RANK(I172,$I$2:$I$245)</f>
        <v>150</v>
      </c>
      <c r="K172">
        <v>12</v>
      </c>
      <c r="L172">
        <v>0</v>
      </c>
      <c r="M172">
        <f>RANK(L172,$L$2:$L$245)</f>
        <v>150</v>
      </c>
      <c r="N172" s="2">
        <f>I172*EXP(-0.1*K172)</f>
        <v>0</v>
      </c>
      <c r="O172" s="2">
        <f>RANK(N172,$N$2:$N$245)</f>
        <v>150</v>
      </c>
    </row>
    <row r="173" spans="1:15" x14ac:dyDescent="0.2">
      <c r="A173" t="s">
        <v>16</v>
      </c>
      <c r="B173" t="s">
        <v>24</v>
      </c>
      <c r="C173">
        <v>2</v>
      </c>
      <c r="D173">
        <v>25</v>
      </c>
      <c r="E173">
        <v>0</v>
      </c>
      <c r="F173">
        <v>0</v>
      </c>
      <c r="G173" t="s">
        <v>23</v>
      </c>
      <c r="H173" t="s">
        <v>22</v>
      </c>
      <c r="I173">
        <v>0</v>
      </c>
      <c r="J173" s="2">
        <f>RANK(I173,$I$2:$I$245)</f>
        <v>150</v>
      </c>
      <c r="K173">
        <v>12.5</v>
      </c>
      <c r="L173">
        <v>0</v>
      </c>
      <c r="M173">
        <f>RANK(L173,$L$2:$L$245)</f>
        <v>150</v>
      </c>
      <c r="N173" s="2">
        <f>I173*EXP(-0.1*K173)</f>
        <v>0</v>
      </c>
      <c r="O173" s="2">
        <f>RANK(N173,$N$2:$N$245)</f>
        <v>150</v>
      </c>
    </row>
    <row r="174" spans="1:15" x14ac:dyDescent="0.2">
      <c r="A174" t="s">
        <v>16</v>
      </c>
      <c r="B174" t="s">
        <v>17</v>
      </c>
      <c r="C174">
        <v>0</v>
      </c>
      <c r="D174">
        <v>0</v>
      </c>
      <c r="E174">
        <v>5</v>
      </c>
      <c r="F174">
        <v>100</v>
      </c>
      <c r="G174" t="s">
        <v>18</v>
      </c>
      <c r="H174" t="s">
        <v>22</v>
      </c>
      <c r="I174">
        <v>0</v>
      </c>
      <c r="J174" s="2">
        <f>RANK(I174,$I$2:$I$245)</f>
        <v>150</v>
      </c>
      <c r="K174">
        <v>20</v>
      </c>
      <c r="L174">
        <v>0</v>
      </c>
      <c r="M174">
        <f>RANK(L174,$L$2:$L$245)</f>
        <v>150</v>
      </c>
      <c r="N174" s="2">
        <f>I174*EXP(-0.1*K174)</f>
        <v>0</v>
      </c>
      <c r="O174" s="2">
        <f>RANK(N174,$N$2:$N$245)</f>
        <v>150</v>
      </c>
    </row>
    <row r="175" spans="1:15" x14ac:dyDescent="0.2">
      <c r="A175" t="s">
        <v>16</v>
      </c>
      <c r="B175" t="s">
        <v>25</v>
      </c>
      <c r="C175">
        <v>2</v>
      </c>
      <c r="D175">
        <v>25</v>
      </c>
      <c r="E175">
        <v>0</v>
      </c>
      <c r="F175">
        <v>0</v>
      </c>
      <c r="G175" t="s">
        <v>23</v>
      </c>
      <c r="H175" t="s">
        <v>22</v>
      </c>
      <c r="I175">
        <v>0</v>
      </c>
      <c r="J175">
        <f>RANK(I175,$I$2:$I$245)</f>
        <v>150</v>
      </c>
      <c r="K175">
        <v>12.5</v>
      </c>
      <c r="L175">
        <v>0</v>
      </c>
      <c r="M175">
        <f>RANK(L175,$L$2:$L$245)</f>
        <v>150</v>
      </c>
      <c r="N175" s="2">
        <f>I175*EXP(-0.1*K175)</f>
        <v>0</v>
      </c>
      <c r="O175" s="2">
        <f>RANK(N175,$N$2:$N$245)</f>
        <v>150</v>
      </c>
    </row>
    <row r="176" spans="1:15" x14ac:dyDescent="0.2">
      <c r="A176" t="s">
        <v>16</v>
      </c>
      <c r="B176" t="s">
        <v>17</v>
      </c>
      <c r="C176">
        <v>0</v>
      </c>
      <c r="D176">
        <v>0</v>
      </c>
      <c r="E176">
        <v>5</v>
      </c>
      <c r="F176">
        <v>100</v>
      </c>
      <c r="G176" t="s">
        <v>23</v>
      </c>
      <c r="H176" t="s">
        <v>22</v>
      </c>
      <c r="I176">
        <v>0</v>
      </c>
      <c r="J176">
        <f>RANK(I176,$I$2:$I$245)</f>
        <v>150</v>
      </c>
      <c r="K176">
        <v>20</v>
      </c>
      <c r="L176">
        <v>0</v>
      </c>
      <c r="M176">
        <f>RANK(L176,$L$2:$L$245)</f>
        <v>150</v>
      </c>
      <c r="N176" s="2">
        <f>I176*EXP(-0.1*K176)</f>
        <v>0</v>
      </c>
      <c r="O176" s="2">
        <f>RANK(N176,$N$2:$N$245)</f>
        <v>150</v>
      </c>
    </row>
    <row r="177" spans="1:15" x14ac:dyDescent="0.2">
      <c r="A177" t="s">
        <v>16</v>
      </c>
      <c r="B177" t="s">
        <v>24</v>
      </c>
      <c r="C177">
        <v>5</v>
      </c>
      <c r="D177">
        <v>37</v>
      </c>
      <c r="E177">
        <v>5</v>
      </c>
      <c r="F177">
        <v>37</v>
      </c>
      <c r="G177" t="s">
        <v>23</v>
      </c>
      <c r="H177" t="s">
        <v>22</v>
      </c>
      <c r="I177">
        <v>0</v>
      </c>
      <c r="J177" s="2">
        <f>RANK(I177,$I$2:$I$245)</f>
        <v>150</v>
      </c>
      <c r="K177">
        <v>14.8</v>
      </c>
      <c r="L177">
        <v>0</v>
      </c>
      <c r="M177">
        <f>RANK(L177,$L$2:$L$245)</f>
        <v>150</v>
      </c>
      <c r="N177" s="2">
        <f>I177*EXP(-0.1*K177)</f>
        <v>0</v>
      </c>
      <c r="O177" s="2">
        <f>RANK(N177,$N$2:$N$245)</f>
        <v>150</v>
      </c>
    </row>
    <row r="178" spans="1:15" x14ac:dyDescent="0.2">
      <c r="A178" t="s">
        <v>16</v>
      </c>
      <c r="B178" t="s">
        <v>25</v>
      </c>
      <c r="C178">
        <v>5</v>
      </c>
      <c r="D178">
        <v>37</v>
      </c>
      <c r="E178">
        <v>5</v>
      </c>
      <c r="F178">
        <v>37</v>
      </c>
      <c r="G178" t="s">
        <v>23</v>
      </c>
      <c r="H178" t="s">
        <v>22</v>
      </c>
      <c r="I178">
        <v>0</v>
      </c>
      <c r="J178">
        <f>RANK(I178,$I$2:$I$245)</f>
        <v>150</v>
      </c>
      <c r="K178">
        <v>14.8</v>
      </c>
      <c r="L178">
        <v>0</v>
      </c>
      <c r="M178">
        <f>RANK(L178,$L$2:$L$245)</f>
        <v>150</v>
      </c>
      <c r="N178" s="2">
        <f>I178*EXP(-0.1*K178)</f>
        <v>0</v>
      </c>
      <c r="O178" s="2">
        <f>RANK(N178,$N$2:$N$245)</f>
        <v>150</v>
      </c>
    </row>
    <row r="179" spans="1:15" x14ac:dyDescent="0.2">
      <c r="A179" t="s">
        <v>16</v>
      </c>
      <c r="B179" t="s">
        <v>24</v>
      </c>
      <c r="C179">
        <v>5</v>
      </c>
      <c r="D179">
        <v>75</v>
      </c>
      <c r="E179">
        <v>0</v>
      </c>
      <c r="F179">
        <v>0</v>
      </c>
      <c r="G179" t="s">
        <v>23</v>
      </c>
      <c r="H179" t="s">
        <v>22</v>
      </c>
      <c r="I179">
        <v>0</v>
      </c>
      <c r="J179">
        <f>RANK(I179,$I$2:$I$245)</f>
        <v>150</v>
      </c>
      <c r="K179">
        <v>15</v>
      </c>
      <c r="L179">
        <v>0</v>
      </c>
      <c r="M179">
        <f>RANK(L179,$L$2:$L$245)</f>
        <v>150</v>
      </c>
      <c r="N179" s="2">
        <f>I179*EXP(-0.1*K179)</f>
        <v>0</v>
      </c>
      <c r="O179" s="2">
        <f>RANK(N179,$N$2:$N$245)</f>
        <v>150</v>
      </c>
    </row>
    <row r="180" spans="1:15" x14ac:dyDescent="0.2">
      <c r="A180" t="s">
        <v>16</v>
      </c>
      <c r="B180" t="s">
        <v>25</v>
      </c>
      <c r="C180">
        <v>5</v>
      </c>
      <c r="D180">
        <v>75</v>
      </c>
      <c r="E180">
        <v>0</v>
      </c>
      <c r="F180">
        <v>0</v>
      </c>
      <c r="G180" t="s">
        <v>23</v>
      </c>
      <c r="H180" t="s">
        <v>22</v>
      </c>
      <c r="I180">
        <v>0</v>
      </c>
      <c r="J180" s="2">
        <f>RANK(I180,$I$2:$I$245)</f>
        <v>150</v>
      </c>
      <c r="K180">
        <v>15</v>
      </c>
      <c r="L180">
        <v>0</v>
      </c>
      <c r="M180">
        <f>RANK(L180,$L$2:$L$245)</f>
        <v>150</v>
      </c>
      <c r="N180" s="2">
        <f>I180*EXP(-0.1*K180)</f>
        <v>0</v>
      </c>
      <c r="O180" s="2">
        <f>RANK(N180,$N$2:$N$245)</f>
        <v>150</v>
      </c>
    </row>
    <row r="181" spans="1:15" x14ac:dyDescent="0.2">
      <c r="A181" t="s">
        <v>16</v>
      </c>
      <c r="B181" t="s">
        <v>24</v>
      </c>
      <c r="C181">
        <v>5</v>
      </c>
      <c r="D181">
        <v>100</v>
      </c>
      <c r="E181">
        <v>0</v>
      </c>
      <c r="F181">
        <v>0</v>
      </c>
      <c r="G181" t="s">
        <v>23</v>
      </c>
      <c r="H181" t="s">
        <v>22</v>
      </c>
      <c r="I181">
        <v>0</v>
      </c>
      <c r="J181">
        <f>RANK(I181,$I$2:$I$245)</f>
        <v>150</v>
      </c>
      <c r="K181">
        <v>20</v>
      </c>
      <c r="L181">
        <v>0</v>
      </c>
      <c r="M181">
        <f>RANK(L181,$L$2:$L$245)</f>
        <v>150</v>
      </c>
      <c r="N181" s="2">
        <f>I181*EXP(-0.1*K181)</f>
        <v>0</v>
      </c>
      <c r="O181" s="2">
        <f>RANK(N181,$N$2:$N$245)</f>
        <v>150</v>
      </c>
    </row>
    <row r="182" spans="1:15" x14ac:dyDescent="0.2">
      <c r="A182" t="s">
        <v>16</v>
      </c>
      <c r="B182" t="s">
        <v>24</v>
      </c>
      <c r="C182">
        <v>5</v>
      </c>
      <c r="D182">
        <v>50</v>
      </c>
      <c r="E182">
        <v>5</v>
      </c>
      <c r="F182">
        <v>50</v>
      </c>
      <c r="G182" t="s">
        <v>23</v>
      </c>
      <c r="H182" t="s">
        <v>22</v>
      </c>
      <c r="I182">
        <v>0</v>
      </c>
      <c r="J182" s="2">
        <f>RANK(I182,$I$2:$I$245)</f>
        <v>150</v>
      </c>
      <c r="K182">
        <v>20</v>
      </c>
      <c r="L182">
        <v>0</v>
      </c>
      <c r="M182">
        <f>RANK(L182,$L$2:$L$245)</f>
        <v>150</v>
      </c>
      <c r="N182" s="2">
        <f>I182*EXP(-0.1*K182)</f>
        <v>0</v>
      </c>
      <c r="O182" s="2">
        <f>RANK(N182,$N$2:$N$245)</f>
        <v>150</v>
      </c>
    </row>
    <row r="183" spans="1:15" x14ac:dyDescent="0.2">
      <c r="A183" t="s">
        <v>16</v>
      </c>
      <c r="B183" t="s">
        <v>25</v>
      </c>
      <c r="C183">
        <v>5</v>
      </c>
      <c r="D183">
        <v>100</v>
      </c>
      <c r="E183">
        <v>0</v>
      </c>
      <c r="F183">
        <v>0</v>
      </c>
      <c r="G183" t="s">
        <v>23</v>
      </c>
      <c r="H183" t="s">
        <v>22</v>
      </c>
      <c r="I183">
        <v>0</v>
      </c>
      <c r="J183" s="2">
        <f>RANK(I183,$I$2:$I$245)</f>
        <v>150</v>
      </c>
      <c r="K183">
        <v>20</v>
      </c>
      <c r="L183">
        <v>0</v>
      </c>
      <c r="M183">
        <f>RANK(L183,$L$2:$L$245)</f>
        <v>150</v>
      </c>
      <c r="N183" s="2">
        <f>I183*EXP(-0.1*K183)</f>
        <v>0</v>
      </c>
      <c r="O183" s="2">
        <f>RANK(N183,$N$2:$N$245)</f>
        <v>150</v>
      </c>
    </row>
    <row r="184" spans="1:15" x14ac:dyDescent="0.2">
      <c r="A184" t="s">
        <v>16</v>
      </c>
      <c r="B184" t="s">
        <v>25</v>
      </c>
      <c r="C184">
        <v>5</v>
      </c>
      <c r="D184">
        <v>50</v>
      </c>
      <c r="E184">
        <v>5</v>
      </c>
      <c r="F184">
        <v>50</v>
      </c>
      <c r="G184" t="s">
        <v>23</v>
      </c>
      <c r="H184" t="s">
        <v>22</v>
      </c>
      <c r="I184">
        <v>0</v>
      </c>
      <c r="J184">
        <f>RANK(I184,$I$2:$I$245)</f>
        <v>150</v>
      </c>
      <c r="K184">
        <v>20</v>
      </c>
      <c r="L184">
        <v>0</v>
      </c>
      <c r="M184">
        <f>RANK(L184,$L$2:$L$245)</f>
        <v>150</v>
      </c>
      <c r="N184" s="2">
        <f>I184*EXP(-0.1*K184)</f>
        <v>0</v>
      </c>
      <c r="O184" s="2">
        <f>RANK(N184,$N$2:$N$245)</f>
        <v>150</v>
      </c>
    </row>
    <row r="185" spans="1:15" x14ac:dyDescent="0.2">
      <c r="A185" t="s">
        <v>16</v>
      </c>
      <c r="B185" t="s">
        <v>24</v>
      </c>
      <c r="C185">
        <v>1</v>
      </c>
      <c r="D185">
        <v>12</v>
      </c>
      <c r="E185">
        <v>1</v>
      </c>
      <c r="F185">
        <v>12</v>
      </c>
      <c r="G185" t="s">
        <v>23</v>
      </c>
      <c r="H185" t="s">
        <v>22</v>
      </c>
      <c r="I185">
        <v>0</v>
      </c>
      <c r="J185">
        <f>RANK(I185,$I$2:$I$245)</f>
        <v>150</v>
      </c>
      <c r="K185">
        <v>23.52</v>
      </c>
      <c r="L185">
        <v>0</v>
      </c>
      <c r="M185">
        <f>RANK(L185,$L$2:$L$245)</f>
        <v>150</v>
      </c>
      <c r="N185" s="2">
        <f>I185*EXP(-0.1*K185)</f>
        <v>0</v>
      </c>
      <c r="O185" s="2">
        <f>RANK(N185,$N$2:$N$245)</f>
        <v>150</v>
      </c>
    </row>
    <row r="186" spans="1:15" x14ac:dyDescent="0.2">
      <c r="A186" t="s">
        <v>16</v>
      </c>
      <c r="B186" t="s">
        <v>17</v>
      </c>
      <c r="C186">
        <v>0</v>
      </c>
      <c r="D186">
        <v>0</v>
      </c>
      <c r="E186">
        <v>1</v>
      </c>
      <c r="F186">
        <v>25</v>
      </c>
      <c r="G186" t="s">
        <v>18</v>
      </c>
      <c r="H186" t="s">
        <v>22</v>
      </c>
      <c r="I186">
        <v>0</v>
      </c>
      <c r="J186">
        <f>RANK(I186,$I$2:$I$245)</f>
        <v>150</v>
      </c>
      <c r="K186">
        <v>24.5</v>
      </c>
      <c r="L186">
        <v>0</v>
      </c>
      <c r="M186">
        <f>RANK(L186,$L$2:$L$245)</f>
        <v>150</v>
      </c>
      <c r="N186" s="2">
        <f>I186*EXP(-0.1*K186)</f>
        <v>0</v>
      </c>
      <c r="O186" s="2">
        <f>RANK(N186,$N$2:$N$245)</f>
        <v>150</v>
      </c>
    </row>
    <row r="187" spans="1:15" x14ac:dyDescent="0.2">
      <c r="A187" t="s">
        <v>16</v>
      </c>
      <c r="B187" t="s">
        <v>17</v>
      </c>
      <c r="C187">
        <v>0</v>
      </c>
      <c r="D187">
        <v>0</v>
      </c>
      <c r="E187">
        <v>1</v>
      </c>
      <c r="F187">
        <v>25</v>
      </c>
      <c r="G187" t="s">
        <v>23</v>
      </c>
      <c r="H187" t="s">
        <v>22</v>
      </c>
      <c r="I187">
        <v>0</v>
      </c>
      <c r="J187">
        <f>RANK(I187,$I$2:$I$245)</f>
        <v>150</v>
      </c>
      <c r="K187">
        <v>24.5</v>
      </c>
      <c r="L187">
        <v>0</v>
      </c>
      <c r="M187">
        <f>RANK(L187,$L$2:$L$245)</f>
        <v>150</v>
      </c>
      <c r="N187" s="2">
        <f>I187*EXP(-0.1*K187)</f>
        <v>0</v>
      </c>
      <c r="O187" s="2">
        <f>RANK(N187,$N$2:$N$245)</f>
        <v>150</v>
      </c>
    </row>
    <row r="188" spans="1:15" x14ac:dyDescent="0.2">
      <c r="A188" t="s">
        <v>16</v>
      </c>
      <c r="B188" t="s">
        <v>25</v>
      </c>
      <c r="C188">
        <v>1</v>
      </c>
      <c r="D188">
        <v>12</v>
      </c>
      <c r="E188">
        <v>1</v>
      </c>
      <c r="F188">
        <v>12</v>
      </c>
      <c r="G188" t="s">
        <v>23</v>
      </c>
      <c r="H188" t="s">
        <v>22</v>
      </c>
      <c r="I188">
        <v>0</v>
      </c>
      <c r="J188" s="2">
        <f>RANK(I188,$I$2:$I$245)</f>
        <v>150</v>
      </c>
      <c r="K188">
        <v>23.52</v>
      </c>
      <c r="L188">
        <v>0</v>
      </c>
      <c r="M188">
        <f>RANK(L188,$L$2:$L$245)</f>
        <v>150</v>
      </c>
      <c r="N188" s="2">
        <f>I188*EXP(-0.1*K188)</f>
        <v>0</v>
      </c>
      <c r="O188" s="2">
        <f>RANK(N188,$N$2:$N$245)</f>
        <v>150</v>
      </c>
    </row>
    <row r="189" spans="1:15" x14ac:dyDescent="0.2">
      <c r="A189" t="s">
        <v>16</v>
      </c>
      <c r="B189" t="s">
        <v>17</v>
      </c>
      <c r="C189">
        <v>0</v>
      </c>
      <c r="D189">
        <v>0</v>
      </c>
      <c r="E189">
        <v>2</v>
      </c>
      <c r="F189">
        <v>50</v>
      </c>
      <c r="G189" t="s">
        <v>18</v>
      </c>
      <c r="H189" t="s">
        <v>22</v>
      </c>
      <c r="I189">
        <v>0</v>
      </c>
      <c r="J189" s="2">
        <f>RANK(I189,$I$2:$I$245)</f>
        <v>150</v>
      </c>
      <c r="K189">
        <v>25</v>
      </c>
      <c r="L189">
        <v>0</v>
      </c>
      <c r="M189">
        <f>RANK(L189,$L$2:$L$245)</f>
        <v>150</v>
      </c>
      <c r="N189" s="2">
        <f>I189*EXP(-0.1*K189)</f>
        <v>0</v>
      </c>
      <c r="O189" s="2">
        <f>RANK(N189,$N$2:$N$245)</f>
        <v>150</v>
      </c>
    </row>
    <row r="190" spans="1:15" x14ac:dyDescent="0.2">
      <c r="A190" t="s">
        <v>16</v>
      </c>
      <c r="B190" t="s">
        <v>17</v>
      </c>
      <c r="C190">
        <v>0</v>
      </c>
      <c r="D190">
        <v>0</v>
      </c>
      <c r="E190">
        <v>2</v>
      </c>
      <c r="F190">
        <v>50</v>
      </c>
      <c r="G190" t="s">
        <v>23</v>
      </c>
      <c r="H190" t="s">
        <v>22</v>
      </c>
      <c r="I190">
        <v>0</v>
      </c>
      <c r="J190">
        <f>RANK(I190,$I$2:$I$245)</f>
        <v>150</v>
      </c>
      <c r="K190">
        <v>25</v>
      </c>
      <c r="L190">
        <v>0</v>
      </c>
      <c r="M190">
        <f>RANK(L190,$L$2:$L$245)</f>
        <v>150</v>
      </c>
      <c r="N190" s="2">
        <f>I190*EXP(-0.1*K190)</f>
        <v>0</v>
      </c>
      <c r="O190" s="2">
        <f>RANK(N190,$N$2:$N$245)</f>
        <v>150</v>
      </c>
    </row>
    <row r="191" spans="1:15" x14ac:dyDescent="0.2">
      <c r="A191" t="s">
        <v>16</v>
      </c>
      <c r="B191" t="s">
        <v>24</v>
      </c>
      <c r="C191">
        <v>1</v>
      </c>
      <c r="D191">
        <v>25</v>
      </c>
      <c r="E191">
        <v>0</v>
      </c>
      <c r="F191">
        <v>0</v>
      </c>
      <c r="G191" t="s">
        <v>23</v>
      </c>
      <c r="H191" t="s">
        <v>22</v>
      </c>
      <c r="I191">
        <v>0</v>
      </c>
      <c r="J191" s="2">
        <f>RANK(I191,$I$2:$I$245)</f>
        <v>150</v>
      </c>
      <c r="K191">
        <v>23.82</v>
      </c>
      <c r="L191">
        <v>0</v>
      </c>
      <c r="M191">
        <f>RANK(L191,$L$2:$L$245)</f>
        <v>150</v>
      </c>
      <c r="N191" s="2">
        <f>I191*EXP(-0.1*K191)</f>
        <v>0</v>
      </c>
      <c r="O191" s="2">
        <f>RANK(N191,$N$2:$N$245)</f>
        <v>150</v>
      </c>
    </row>
    <row r="192" spans="1:15" x14ac:dyDescent="0.2">
      <c r="A192" t="s">
        <v>16</v>
      </c>
      <c r="B192" t="s">
        <v>25</v>
      </c>
      <c r="C192">
        <v>1</v>
      </c>
      <c r="D192">
        <v>25</v>
      </c>
      <c r="E192">
        <v>0</v>
      </c>
      <c r="F192">
        <v>0</v>
      </c>
      <c r="G192" t="s">
        <v>23</v>
      </c>
      <c r="H192" t="s">
        <v>22</v>
      </c>
      <c r="I192">
        <v>0</v>
      </c>
      <c r="J192" s="2">
        <f>RANK(I192,$I$2:$I$245)</f>
        <v>150</v>
      </c>
      <c r="K192">
        <v>24.5</v>
      </c>
      <c r="L192">
        <v>0</v>
      </c>
      <c r="M192">
        <f>RANK(L192,$L$2:$L$245)</f>
        <v>150</v>
      </c>
      <c r="N192" s="2">
        <f>I192*EXP(-0.1*K192)</f>
        <v>0</v>
      </c>
      <c r="O192" s="2">
        <f>RANK(N192,$N$2:$N$245)</f>
        <v>150</v>
      </c>
    </row>
    <row r="193" spans="1:15" x14ac:dyDescent="0.2">
      <c r="A193" t="s">
        <v>16</v>
      </c>
      <c r="B193" t="s">
        <v>24</v>
      </c>
      <c r="C193">
        <v>2</v>
      </c>
      <c r="D193">
        <v>25</v>
      </c>
      <c r="E193">
        <v>2</v>
      </c>
      <c r="F193">
        <v>25</v>
      </c>
      <c r="G193" t="s">
        <v>23</v>
      </c>
      <c r="H193" t="s">
        <v>22</v>
      </c>
      <c r="I193">
        <v>0</v>
      </c>
      <c r="J193" s="2">
        <f>RANK(I193,$I$2:$I$245)</f>
        <v>150</v>
      </c>
      <c r="K193">
        <v>25</v>
      </c>
      <c r="L193">
        <v>0</v>
      </c>
      <c r="M193">
        <f>RANK(L193,$L$2:$L$245)</f>
        <v>150</v>
      </c>
      <c r="N193" s="2">
        <f>I193*EXP(-0.1*K193)</f>
        <v>0</v>
      </c>
      <c r="O193" s="2">
        <f>RANK(N193,$N$2:$N$245)</f>
        <v>150</v>
      </c>
    </row>
    <row r="194" spans="1:15" x14ac:dyDescent="0.2">
      <c r="A194" t="s">
        <v>16</v>
      </c>
      <c r="B194" t="s">
        <v>25</v>
      </c>
      <c r="C194">
        <v>2</v>
      </c>
      <c r="D194">
        <v>50</v>
      </c>
      <c r="E194">
        <v>0</v>
      </c>
      <c r="F194">
        <v>0</v>
      </c>
      <c r="G194" t="s">
        <v>23</v>
      </c>
      <c r="H194" t="s">
        <v>22</v>
      </c>
      <c r="I194">
        <v>0</v>
      </c>
      <c r="J194" s="2">
        <f>RANK(I194,$I$2:$I$245)</f>
        <v>150</v>
      </c>
      <c r="K194">
        <v>25</v>
      </c>
      <c r="L194">
        <v>0</v>
      </c>
      <c r="M194">
        <f>RANK(L194,$L$2:$L$245)</f>
        <v>150</v>
      </c>
      <c r="N194" s="2">
        <f>I194*EXP(-0.1*K194)</f>
        <v>0</v>
      </c>
      <c r="O194" s="2">
        <f>RANK(N194,$N$2:$N$245)</f>
        <v>150</v>
      </c>
    </row>
    <row r="195" spans="1:15" x14ac:dyDescent="0.2">
      <c r="A195" t="s">
        <v>16</v>
      </c>
      <c r="B195" t="s">
        <v>25</v>
      </c>
      <c r="C195">
        <v>2</v>
      </c>
      <c r="D195">
        <v>25</v>
      </c>
      <c r="E195">
        <v>2</v>
      </c>
      <c r="F195">
        <v>25</v>
      </c>
      <c r="G195" t="s">
        <v>23</v>
      </c>
      <c r="H195" t="s">
        <v>22</v>
      </c>
      <c r="I195">
        <v>0</v>
      </c>
      <c r="J195">
        <f>RANK(I195,$I$2:$I$245)</f>
        <v>150</v>
      </c>
      <c r="K195">
        <v>25</v>
      </c>
      <c r="L195">
        <v>0</v>
      </c>
      <c r="M195">
        <f>RANK(L195,$L$2:$L$245)</f>
        <v>150</v>
      </c>
      <c r="N195" s="2">
        <f>I195*EXP(-0.1*K195)</f>
        <v>0</v>
      </c>
      <c r="O195" s="2">
        <f>RANK(N195,$N$2:$N$245)</f>
        <v>150</v>
      </c>
    </row>
    <row r="196" spans="1:15" x14ac:dyDescent="0.2">
      <c r="A196" t="s">
        <v>16</v>
      </c>
      <c r="B196" t="s">
        <v>24</v>
      </c>
      <c r="C196">
        <v>2</v>
      </c>
      <c r="D196">
        <v>37</v>
      </c>
      <c r="E196">
        <v>2</v>
      </c>
      <c r="F196">
        <v>37</v>
      </c>
      <c r="G196" t="s">
        <v>23</v>
      </c>
      <c r="H196" t="s">
        <v>22</v>
      </c>
      <c r="I196">
        <v>0</v>
      </c>
      <c r="J196" s="2">
        <f>RANK(I196,$I$2:$I$245)</f>
        <v>150</v>
      </c>
      <c r="K196">
        <v>37</v>
      </c>
      <c r="L196">
        <v>0</v>
      </c>
      <c r="M196">
        <f>RANK(L196,$L$2:$L$245)</f>
        <v>150</v>
      </c>
      <c r="N196" s="2">
        <f>I196*EXP(-0.1*K196)</f>
        <v>0</v>
      </c>
      <c r="O196" s="2">
        <f>RANK(N196,$N$2:$N$245)</f>
        <v>150</v>
      </c>
    </row>
    <row r="197" spans="1:15" x14ac:dyDescent="0.2">
      <c r="A197" t="s">
        <v>16</v>
      </c>
      <c r="B197" t="s">
        <v>25</v>
      </c>
      <c r="C197">
        <v>2</v>
      </c>
      <c r="D197">
        <v>37</v>
      </c>
      <c r="E197">
        <v>2</v>
      </c>
      <c r="F197">
        <v>37</v>
      </c>
      <c r="G197" t="s">
        <v>23</v>
      </c>
      <c r="H197" t="s">
        <v>22</v>
      </c>
      <c r="I197">
        <v>0</v>
      </c>
      <c r="J197">
        <f>RANK(I197,$I$2:$I$245)</f>
        <v>150</v>
      </c>
      <c r="K197">
        <v>37</v>
      </c>
      <c r="L197">
        <v>0</v>
      </c>
      <c r="M197">
        <f>RANK(L197,$L$2:$L$245)</f>
        <v>150</v>
      </c>
      <c r="N197" s="2">
        <f>I197*EXP(-0.1*K197)</f>
        <v>0</v>
      </c>
      <c r="O197" s="2">
        <f>RANK(N197,$N$2:$N$245)</f>
        <v>150</v>
      </c>
    </row>
    <row r="198" spans="1:15" x14ac:dyDescent="0.2">
      <c r="A198" t="s">
        <v>16</v>
      </c>
      <c r="B198" t="s">
        <v>17</v>
      </c>
      <c r="C198">
        <v>0</v>
      </c>
      <c r="D198">
        <v>0</v>
      </c>
      <c r="E198">
        <v>2</v>
      </c>
      <c r="F198">
        <v>75</v>
      </c>
      <c r="G198" t="s">
        <v>18</v>
      </c>
      <c r="H198" t="s">
        <v>22</v>
      </c>
      <c r="I198">
        <v>0</v>
      </c>
      <c r="J198" s="2">
        <f>RANK(I198,$I$2:$I$245)</f>
        <v>150</v>
      </c>
      <c r="K198">
        <v>37.5</v>
      </c>
      <c r="L198">
        <v>0</v>
      </c>
      <c r="M198">
        <f>RANK(L198,$L$2:$L$245)</f>
        <v>150</v>
      </c>
      <c r="N198" s="2">
        <f>I198*EXP(-0.1*K198)</f>
        <v>0</v>
      </c>
      <c r="O198" s="2">
        <f>RANK(N198,$N$2:$N$245)</f>
        <v>150</v>
      </c>
    </row>
    <row r="199" spans="1:15" x14ac:dyDescent="0.2">
      <c r="A199" t="s">
        <v>16</v>
      </c>
      <c r="B199" t="s">
        <v>17</v>
      </c>
      <c r="C199">
        <v>0</v>
      </c>
      <c r="D199">
        <v>0</v>
      </c>
      <c r="E199">
        <v>2</v>
      </c>
      <c r="F199">
        <v>75</v>
      </c>
      <c r="G199" t="s">
        <v>23</v>
      </c>
      <c r="H199" t="s">
        <v>22</v>
      </c>
      <c r="I199">
        <v>0</v>
      </c>
      <c r="J199" s="2">
        <f>RANK(I199,$I$2:$I$245)</f>
        <v>150</v>
      </c>
      <c r="K199">
        <v>37.5</v>
      </c>
      <c r="L199">
        <v>0</v>
      </c>
      <c r="M199">
        <f>RANK(L199,$L$2:$L$245)</f>
        <v>150</v>
      </c>
      <c r="N199" s="2">
        <f>I199*EXP(-0.1*K199)</f>
        <v>0</v>
      </c>
      <c r="O199" s="2">
        <f>RANK(N199,$N$2:$N$245)</f>
        <v>150</v>
      </c>
    </row>
    <row r="200" spans="1:15" x14ac:dyDescent="0.2">
      <c r="A200" t="s">
        <v>16</v>
      </c>
      <c r="B200" t="s">
        <v>17</v>
      </c>
      <c r="C200">
        <v>0</v>
      </c>
      <c r="D200">
        <v>0</v>
      </c>
      <c r="E200">
        <v>2</v>
      </c>
      <c r="F200">
        <v>100</v>
      </c>
      <c r="G200" t="s">
        <v>18</v>
      </c>
      <c r="H200" t="s">
        <v>22</v>
      </c>
      <c r="I200">
        <v>0</v>
      </c>
      <c r="J200" s="2">
        <f>RANK(I200,$I$2:$I$245)</f>
        <v>150</v>
      </c>
      <c r="K200">
        <v>47.28</v>
      </c>
      <c r="L200">
        <v>0</v>
      </c>
      <c r="M200">
        <f>RANK(L200,$L$2:$L$245)</f>
        <v>150</v>
      </c>
      <c r="N200" s="2">
        <f>I200*EXP(-0.1*K200)</f>
        <v>0</v>
      </c>
      <c r="O200" s="2">
        <f>RANK(N200,$N$2:$N$245)</f>
        <v>150</v>
      </c>
    </row>
    <row r="201" spans="1:15" x14ac:dyDescent="0.2">
      <c r="A201" t="s">
        <v>16</v>
      </c>
      <c r="B201" t="s">
        <v>17</v>
      </c>
      <c r="C201">
        <v>0</v>
      </c>
      <c r="D201">
        <v>0</v>
      </c>
      <c r="E201">
        <v>1</v>
      </c>
      <c r="F201">
        <v>50</v>
      </c>
      <c r="G201" t="s">
        <v>18</v>
      </c>
      <c r="H201" t="s">
        <v>22</v>
      </c>
      <c r="I201">
        <v>0</v>
      </c>
      <c r="J201" s="2">
        <f>RANK(I201,$I$2:$I$245)</f>
        <v>150</v>
      </c>
      <c r="K201">
        <v>49</v>
      </c>
      <c r="L201">
        <v>0</v>
      </c>
      <c r="M201">
        <f>RANK(L201,$L$2:$L$245)</f>
        <v>150</v>
      </c>
      <c r="N201" s="2">
        <f>I201*EXP(-0.1*K201)</f>
        <v>0</v>
      </c>
      <c r="O201" s="2">
        <f>RANK(N201,$N$2:$N$245)</f>
        <v>150</v>
      </c>
    </row>
    <row r="202" spans="1:15" x14ac:dyDescent="0.2">
      <c r="A202" t="s">
        <v>16</v>
      </c>
      <c r="B202" t="s">
        <v>17</v>
      </c>
      <c r="C202">
        <v>0</v>
      </c>
      <c r="D202">
        <v>0</v>
      </c>
      <c r="E202">
        <v>1</v>
      </c>
      <c r="F202">
        <v>50</v>
      </c>
      <c r="G202" t="s">
        <v>23</v>
      </c>
      <c r="H202" t="s">
        <v>22</v>
      </c>
      <c r="I202">
        <v>0</v>
      </c>
      <c r="J202" s="2">
        <f>RANK(I202,$I$2:$I$245)</f>
        <v>150</v>
      </c>
      <c r="K202">
        <v>49</v>
      </c>
      <c r="L202">
        <v>0</v>
      </c>
      <c r="M202">
        <f>RANK(L202,$L$2:$L$245)</f>
        <v>150</v>
      </c>
      <c r="N202" s="2">
        <f>I202*EXP(-0.1*K202)</f>
        <v>0</v>
      </c>
      <c r="O202" s="2">
        <f>RANK(N202,$N$2:$N$245)</f>
        <v>150</v>
      </c>
    </row>
    <row r="203" spans="1:15" x14ac:dyDescent="0.2">
      <c r="A203" t="s">
        <v>16</v>
      </c>
      <c r="B203" t="s">
        <v>17</v>
      </c>
      <c r="C203">
        <v>0</v>
      </c>
      <c r="D203">
        <v>0</v>
      </c>
      <c r="E203">
        <v>2</v>
      </c>
      <c r="F203">
        <v>100</v>
      </c>
      <c r="G203" t="s">
        <v>23</v>
      </c>
      <c r="H203" t="s">
        <v>22</v>
      </c>
      <c r="I203">
        <v>0</v>
      </c>
      <c r="J203">
        <f>RANK(I203,$I$2:$I$245)</f>
        <v>150</v>
      </c>
      <c r="K203">
        <v>50</v>
      </c>
      <c r="L203">
        <v>0</v>
      </c>
      <c r="M203">
        <f>RANK(L203,$L$2:$L$245)</f>
        <v>150</v>
      </c>
      <c r="N203" s="2">
        <f>I203*EXP(-0.1*K203)</f>
        <v>0</v>
      </c>
      <c r="O203" s="2">
        <f>RANK(N203,$N$2:$N$245)</f>
        <v>150</v>
      </c>
    </row>
    <row r="204" spans="1:15" x14ac:dyDescent="0.2">
      <c r="A204" t="s">
        <v>16</v>
      </c>
      <c r="B204" t="s">
        <v>17</v>
      </c>
      <c r="C204">
        <v>0</v>
      </c>
      <c r="D204">
        <v>0</v>
      </c>
      <c r="E204">
        <v>1</v>
      </c>
      <c r="F204">
        <v>75</v>
      </c>
      <c r="G204" t="s">
        <v>18</v>
      </c>
      <c r="H204" t="s">
        <v>22</v>
      </c>
      <c r="I204">
        <v>0</v>
      </c>
      <c r="J204" s="2">
        <f>RANK(I204,$I$2:$I$245)</f>
        <v>150</v>
      </c>
      <c r="K204">
        <v>68.760000000000005</v>
      </c>
      <c r="L204">
        <v>0</v>
      </c>
      <c r="M204">
        <f>RANK(L204,$L$2:$L$245)</f>
        <v>150</v>
      </c>
      <c r="N204" s="2">
        <f>I204*EXP(-0.1*K204)</f>
        <v>0</v>
      </c>
      <c r="O204" s="2">
        <f>RANK(N204,$N$2:$N$245)</f>
        <v>150</v>
      </c>
    </row>
    <row r="205" spans="1:15" x14ac:dyDescent="0.2">
      <c r="A205" t="s">
        <v>16</v>
      </c>
      <c r="B205" t="s">
        <v>17</v>
      </c>
      <c r="C205">
        <v>0</v>
      </c>
      <c r="D205">
        <v>0</v>
      </c>
      <c r="E205">
        <v>1</v>
      </c>
      <c r="F205">
        <v>75</v>
      </c>
      <c r="G205" t="s">
        <v>23</v>
      </c>
      <c r="H205" t="s">
        <v>22</v>
      </c>
      <c r="I205">
        <v>0</v>
      </c>
      <c r="J205" s="2">
        <f>RANK(I205,$I$2:$I$245)</f>
        <v>150</v>
      </c>
      <c r="K205">
        <v>73.5</v>
      </c>
      <c r="L205">
        <v>0</v>
      </c>
      <c r="M205">
        <f>RANK(L205,$L$2:$L$245)</f>
        <v>150</v>
      </c>
      <c r="N205" s="2">
        <f>I205*EXP(-0.1*K205)</f>
        <v>0</v>
      </c>
      <c r="O205" s="2">
        <f>RANK(N205,$N$2:$N$245)</f>
        <v>150</v>
      </c>
    </row>
    <row r="206" spans="1:15" x14ac:dyDescent="0.2">
      <c r="A206" t="s">
        <v>16</v>
      </c>
      <c r="B206" t="s">
        <v>17</v>
      </c>
      <c r="C206">
        <v>0</v>
      </c>
      <c r="D206">
        <v>0</v>
      </c>
      <c r="E206">
        <v>1</v>
      </c>
      <c r="F206">
        <v>100</v>
      </c>
      <c r="G206" t="s">
        <v>18</v>
      </c>
      <c r="H206" t="s">
        <v>22</v>
      </c>
      <c r="I206">
        <v>0</v>
      </c>
      <c r="J206" s="2">
        <f>RANK(I206,$I$2:$I$245)</f>
        <v>150</v>
      </c>
      <c r="K206">
        <v>79.459999999999994</v>
      </c>
      <c r="L206">
        <v>0</v>
      </c>
      <c r="M206">
        <f>RANK(L206,$L$2:$L$245)</f>
        <v>150</v>
      </c>
      <c r="N206" s="2">
        <f>I206*EXP(-0.1*K206)</f>
        <v>0</v>
      </c>
      <c r="O206" s="2">
        <f>RANK(N206,$N$2:$N$245)</f>
        <v>150</v>
      </c>
    </row>
    <row r="207" spans="1:15" x14ac:dyDescent="0.2">
      <c r="A207" t="s">
        <v>16</v>
      </c>
      <c r="B207" t="s">
        <v>17</v>
      </c>
      <c r="C207">
        <v>0</v>
      </c>
      <c r="D207">
        <v>0</v>
      </c>
      <c r="E207">
        <v>1</v>
      </c>
      <c r="F207">
        <v>100</v>
      </c>
      <c r="G207" t="s">
        <v>23</v>
      </c>
      <c r="H207" t="s">
        <v>22</v>
      </c>
      <c r="I207">
        <v>0</v>
      </c>
      <c r="J207" s="2">
        <f>RANK(I207,$I$2:$I$245)</f>
        <v>150</v>
      </c>
      <c r="K207">
        <v>98</v>
      </c>
      <c r="L207">
        <v>0</v>
      </c>
      <c r="M207">
        <f>RANK(L207,$L$2:$L$245)</f>
        <v>150</v>
      </c>
      <c r="N207" s="2">
        <f>I207*EXP(-0.1*K207)</f>
        <v>0</v>
      </c>
      <c r="O207" s="2">
        <f>RANK(N207,$N$2:$N$245)</f>
        <v>150</v>
      </c>
    </row>
    <row r="208" spans="1:15" x14ac:dyDescent="0.2">
      <c r="A208" t="s">
        <v>16</v>
      </c>
      <c r="B208" t="s">
        <v>17</v>
      </c>
      <c r="C208">
        <v>0</v>
      </c>
      <c r="D208">
        <v>0</v>
      </c>
      <c r="E208">
        <v>0</v>
      </c>
      <c r="F208">
        <v>0</v>
      </c>
      <c r="G208" t="s">
        <v>18</v>
      </c>
      <c r="H208" t="s">
        <v>19</v>
      </c>
      <c r="I208">
        <v>0</v>
      </c>
      <c r="J208" s="2">
        <f>RANK(I208,$I$2:$I$245)</f>
        <v>150</v>
      </c>
      <c r="K208">
        <v>0</v>
      </c>
      <c r="L208">
        <f>I208/J208</f>
        <v>0</v>
      </c>
      <c r="M208">
        <f>RANK(L208,$L$2:$L$245)</f>
        <v>150</v>
      </c>
      <c r="N208" s="2">
        <f>I208*EXP(-0.1*K208)</f>
        <v>0</v>
      </c>
      <c r="O208" s="2">
        <f>RANK(N208,$N$2:$N$245)</f>
        <v>150</v>
      </c>
    </row>
    <row r="209" spans="1:15" x14ac:dyDescent="0.2">
      <c r="A209" t="s">
        <v>16</v>
      </c>
      <c r="B209" t="s">
        <v>17</v>
      </c>
      <c r="C209">
        <v>0</v>
      </c>
      <c r="D209">
        <v>0</v>
      </c>
      <c r="E209">
        <v>0</v>
      </c>
      <c r="F209">
        <v>0</v>
      </c>
      <c r="G209" t="s">
        <v>23</v>
      </c>
      <c r="H209" t="s">
        <v>19</v>
      </c>
      <c r="I209">
        <v>0</v>
      </c>
      <c r="J209" s="2">
        <f>RANK(I209,$I$2:$I$245)</f>
        <v>150</v>
      </c>
      <c r="K209">
        <v>0</v>
      </c>
      <c r="L209">
        <f>I209/J209</f>
        <v>0</v>
      </c>
      <c r="M209">
        <f>RANK(L209,$L$2:$L$245)</f>
        <v>150</v>
      </c>
      <c r="N209" s="2">
        <f>I209*EXP(-0.1*K209)</f>
        <v>0</v>
      </c>
      <c r="O209" s="2">
        <f>RANK(N209,$N$2:$N$245)</f>
        <v>150</v>
      </c>
    </row>
    <row r="210" spans="1:15" x14ac:dyDescent="0.2">
      <c r="A210" t="s">
        <v>16</v>
      </c>
      <c r="B210" t="s">
        <v>17</v>
      </c>
      <c r="C210">
        <v>0</v>
      </c>
      <c r="D210">
        <v>0</v>
      </c>
      <c r="E210">
        <v>5</v>
      </c>
      <c r="F210">
        <v>25</v>
      </c>
      <c r="G210" t="s">
        <v>18</v>
      </c>
      <c r="H210" t="s">
        <v>19</v>
      </c>
      <c r="I210">
        <v>0</v>
      </c>
      <c r="J210" s="2">
        <f>RANK(I210,$I$2:$I$245)</f>
        <v>150</v>
      </c>
      <c r="K210">
        <v>5</v>
      </c>
      <c r="L210">
        <v>0</v>
      </c>
      <c r="M210">
        <f>RANK(L210,$L$2:$L$245)</f>
        <v>150</v>
      </c>
      <c r="N210" s="2">
        <f>I210*EXP(-0.1*K210)</f>
        <v>0</v>
      </c>
      <c r="O210" s="2">
        <f>RANK(N210,$N$2:$N$245)</f>
        <v>150</v>
      </c>
    </row>
    <row r="211" spans="1:15" x14ac:dyDescent="0.2">
      <c r="A211" t="s">
        <v>16</v>
      </c>
      <c r="B211" t="s">
        <v>17</v>
      </c>
      <c r="C211">
        <v>0</v>
      </c>
      <c r="D211">
        <v>0</v>
      </c>
      <c r="E211">
        <v>5</v>
      </c>
      <c r="F211">
        <v>25</v>
      </c>
      <c r="G211" t="s">
        <v>23</v>
      </c>
      <c r="H211" t="s">
        <v>19</v>
      </c>
      <c r="I211">
        <v>0</v>
      </c>
      <c r="J211" s="2">
        <f>RANK(I211,$I$2:$I$245)</f>
        <v>150</v>
      </c>
      <c r="K211">
        <v>5</v>
      </c>
      <c r="L211">
        <v>0</v>
      </c>
      <c r="M211">
        <f>RANK(L211,$L$2:$L$245)</f>
        <v>150</v>
      </c>
      <c r="N211" s="2">
        <f>I211*EXP(-0.1*K211)</f>
        <v>0</v>
      </c>
      <c r="O211" s="2">
        <f>RANK(N211,$N$2:$N$245)</f>
        <v>150</v>
      </c>
    </row>
    <row r="212" spans="1:15" x14ac:dyDescent="0.2">
      <c r="A212" t="s">
        <v>16</v>
      </c>
      <c r="B212" t="s">
        <v>17</v>
      </c>
      <c r="C212">
        <v>0</v>
      </c>
      <c r="D212">
        <v>0</v>
      </c>
      <c r="E212">
        <v>5</v>
      </c>
      <c r="F212">
        <v>50</v>
      </c>
      <c r="G212" t="s">
        <v>18</v>
      </c>
      <c r="H212" t="s">
        <v>19</v>
      </c>
      <c r="I212">
        <v>0</v>
      </c>
      <c r="J212">
        <f>RANK(I212,$I$2:$I$245)</f>
        <v>150</v>
      </c>
      <c r="K212">
        <v>8.64</v>
      </c>
      <c r="L212">
        <v>0</v>
      </c>
      <c r="M212">
        <f>RANK(L212,$L$2:$L$245)</f>
        <v>150</v>
      </c>
      <c r="N212" s="2">
        <f>I212*EXP(-0.1*K212)</f>
        <v>0</v>
      </c>
      <c r="O212" s="2">
        <f>RANK(N212,$N$2:$N$245)</f>
        <v>150</v>
      </c>
    </row>
    <row r="213" spans="1:15" x14ac:dyDescent="0.2">
      <c r="A213" t="s">
        <v>16</v>
      </c>
      <c r="B213" t="s">
        <v>17</v>
      </c>
      <c r="C213">
        <v>0</v>
      </c>
      <c r="D213">
        <v>0</v>
      </c>
      <c r="E213">
        <v>5</v>
      </c>
      <c r="F213">
        <v>50</v>
      </c>
      <c r="G213" t="s">
        <v>23</v>
      </c>
      <c r="H213" t="s">
        <v>19</v>
      </c>
      <c r="I213">
        <v>0</v>
      </c>
      <c r="J213" s="2">
        <f>RANK(I213,$I$2:$I$245)</f>
        <v>150</v>
      </c>
      <c r="K213">
        <v>10</v>
      </c>
      <c r="L213">
        <v>0</v>
      </c>
      <c r="M213">
        <f>RANK(L213,$L$2:$L$245)</f>
        <v>150</v>
      </c>
      <c r="N213" s="2">
        <f>I213*EXP(-0.1*K213)</f>
        <v>0</v>
      </c>
      <c r="O213" s="2">
        <f>RANK(N213,$N$2:$N$245)</f>
        <v>150</v>
      </c>
    </row>
    <row r="214" spans="1:15" x14ac:dyDescent="0.2">
      <c r="A214" t="s">
        <v>16</v>
      </c>
      <c r="B214" t="s">
        <v>17</v>
      </c>
      <c r="C214">
        <v>0</v>
      </c>
      <c r="D214">
        <v>0</v>
      </c>
      <c r="E214">
        <v>2</v>
      </c>
      <c r="F214">
        <v>25</v>
      </c>
      <c r="G214" t="s">
        <v>18</v>
      </c>
      <c r="H214" t="s">
        <v>19</v>
      </c>
      <c r="I214">
        <v>0</v>
      </c>
      <c r="J214" s="2">
        <f>RANK(I214,$I$2:$I$245)</f>
        <v>150</v>
      </c>
      <c r="K214">
        <v>12.48</v>
      </c>
      <c r="L214">
        <v>0</v>
      </c>
      <c r="M214">
        <f>RANK(L214,$L$2:$L$245)</f>
        <v>150</v>
      </c>
      <c r="N214" s="2">
        <f>I214*EXP(-0.1*K214)</f>
        <v>0</v>
      </c>
      <c r="O214" s="2">
        <f>RANK(N214,$N$2:$N$245)</f>
        <v>150</v>
      </c>
    </row>
    <row r="215" spans="1:15" x14ac:dyDescent="0.2">
      <c r="A215" t="s">
        <v>16</v>
      </c>
      <c r="B215" t="s">
        <v>17</v>
      </c>
      <c r="C215">
        <v>0</v>
      </c>
      <c r="D215">
        <v>0</v>
      </c>
      <c r="E215">
        <v>5</v>
      </c>
      <c r="F215">
        <v>75</v>
      </c>
      <c r="G215" t="s">
        <v>18</v>
      </c>
      <c r="H215" t="s">
        <v>19</v>
      </c>
      <c r="I215">
        <v>0</v>
      </c>
      <c r="J215" s="2">
        <f>RANK(I215,$I$2:$I$245)</f>
        <v>150</v>
      </c>
      <c r="K215">
        <v>12.5</v>
      </c>
      <c r="L215">
        <v>0</v>
      </c>
      <c r="M215">
        <f>RANK(L215,$L$2:$L$245)</f>
        <v>150</v>
      </c>
      <c r="N215" s="2">
        <f>I215*EXP(-0.1*K215)</f>
        <v>0</v>
      </c>
      <c r="O215" s="2">
        <f>RANK(N215,$N$2:$N$245)</f>
        <v>150</v>
      </c>
    </row>
    <row r="216" spans="1:15" x14ac:dyDescent="0.2">
      <c r="A216" t="s">
        <v>16</v>
      </c>
      <c r="B216" t="s">
        <v>17</v>
      </c>
      <c r="C216">
        <v>0</v>
      </c>
      <c r="D216">
        <v>0</v>
      </c>
      <c r="E216">
        <v>2</v>
      </c>
      <c r="F216">
        <v>25</v>
      </c>
      <c r="G216" t="s">
        <v>23</v>
      </c>
      <c r="H216" t="s">
        <v>19</v>
      </c>
      <c r="I216">
        <v>0</v>
      </c>
      <c r="J216">
        <f>RANK(I216,$I$2:$I$245)</f>
        <v>150</v>
      </c>
      <c r="K216">
        <v>12.5</v>
      </c>
      <c r="L216">
        <v>0</v>
      </c>
      <c r="M216">
        <f>RANK(L216,$L$2:$L$245)</f>
        <v>150</v>
      </c>
      <c r="N216" s="2">
        <f>I216*EXP(-0.1*K216)</f>
        <v>0</v>
      </c>
      <c r="O216" s="2">
        <f>RANK(N216,$N$2:$N$245)</f>
        <v>150</v>
      </c>
    </row>
    <row r="217" spans="1:15" x14ac:dyDescent="0.2">
      <c r="A217" t="s">
        <v>16</v>
      </c>
      <c r="B217" t="s">
        <v>24</v>
      </c>
      <c r="C217">
        <v>5</v>
      </c>
      <c r="D217">
        <v>12</v>
      </c>
      <c r="E217">
        <v>5</v>
      </c>
      <c r="F217">
        <v>12</v>
      </c>
      <c r="G217" t="s">
        <v>23</v>
      </c>
      <c r="H217" t="s">
        <v>19</v>
      </c>
      <c r="I217">
        <v>0</v>
      </c>
      <c r="J217" s="2">
        <f>RANK(I217,$I$2:$I$245)</f>
        <v>150</v>
      </c>
      <c r="K217">
        <v>4.8</v>
      </c>
      <c r="L217">
        <v>0</v>
      </c>
      <c r="M217">
        <f>RANK(L217,$L$2:$L$245)</f>
        <v>150</v>
      </c>
      <c r="N217" s="2">
        <f>I217*EXP(-0.1*K217)</f>
        <v>0</v>
      </c>
      <c r="O217" s="2">
        <f>RANK(N217,$N$2:$N$245)</f>
        <v>150</v>
      </c>
    </row>
    <row r="218" spans="1:15" x14ac:dyDescent="0.2">
      <c r="A218" t="s">
        <v>16</v>
      </c>
      <c r="B218" t="s">
        <v>25</v>
      </c>
      <c r="C218">
        <v>5</v>
      </c>
      <c r="D218">
        <v>12</v>
      </c>
      <c r="E218">
        <v>5</v>
      </c>
      <c r="F218">
        <v>12</v>
      </c>
      <c r="G218" t="s">
        <v>23</v>
      </c>
      <c r="H218" t="s">
        <v>19</v>
      </c>
      <c r="I218">
        <v>0</v>
      </c>
      <c r="J218">
        <f>RANK(I218,$I$2:$I$245)</f>
        <v>150</v>
      </c>
      <c r="K218">
        <v>4.8</v>
      </c>
      <c r="L218">
        <v>0</v>
      </c>
      <c r="M218">
        <f>RANK(L218,$L$2:$L$245)</f>
        <v>150</v>
      </c>
      <c r="N218" s="2">
        <f>I218*EXP(-0.1*K218)</f>
        <v>0</v>
      </c>
      <c r="O218" s="2">
        <f>RANK(N218,$N$2:$N$245)</f>
        <v>150</v>
      </c>
    </row>
    <row r="219" spans="1:15" x14ac:dyDescent="0.2">
      <c r="A219" t="s">
        <v>16</v>
      </c>
      <c r="B219" t="s">
        <v>24</v>
      </c>
      <c r="C219">
        <v>5</v>
      </c>
      <c r="D219">
        <v>25</v>
      </c>
      <c r="E219">
        <v>0</v>
      </c>
      <c r="F219">
        <v>0</v>
      </c>
      <c r="G219" t="s">
        <v>23</v>
      </c>
      <c r="H219" t="s">
        <v>19</v>
      </c>
      <c r="I219">
        <v>0</v>
      </c>
      <c r="J219" s="2">
        <f>RANK(I219,$I$2:$I$245)</f>
        <v>150</v>
      </c>
      <c r="K219">
        <v>5</v>
      </c>
      <c r="L219">
        <v>0</v>
      </c>
      <c r="M219">
        <f>RANK(L219,$L$2:$L$245)</f>
        <v>150</v>
      </c>
      <c r="N219" s="2">
        <f>I219*EXP(-0.1*K219)</f>
        <v>0</v>
      </c>
      <c r="O219" s="2">
        <f>RANK(N219,$N$2:$N$245)</f>
        <v>150</v>
      </c>
    </row>
    <row r="220" spans="1:15" x14ac:dyDescent="0.2">
      <c r="A220" t="s">
        <v>16</v>
      </c>
      <c r="B220" t="s">
        <v>25</v>
      </c>
      <c r="C220">
        <v>5</v>
      </c>
      <c r="D220">
        <v>25</v>
      </c>
      <c r="E220">
        <v>0</v>
      </c>
      <c r="F220">
        <v>0</v>
      </c>
      <c r="G220" t="s">
        <v>23</v>
      </c>
      <c r="H220" t="s">
        <v>19</v>
      </c>
      <c r="I220">
        <v>0</v>
      </c>
      <c r="J220" s="2">
        <f>RANK(I220,$I$2:$I$245)</f>
        <v>150</v>
      </c>
      <c r="K220">
        <v>5</v>
      </c>
      <c r="L220">
        <v>0</v>
      </c>
      <c r="M220">
        <f>RANK(L220,$L$2:$L$245)</f>
        <v>150</v>
      </c>
      <c r="N220" s="2">
        <f>I220*EXP(-0.1*K220)</f>
        <v>0</v>
      </c>
      <c r="O220" s="2">
        <f>RANK(N220,$N$2:$N$245)</f>
        <v>150</v>
      </c>
    </row>
    <row r="221" spans="1:15" x14ac:dyDescent="0.2">
      <c r="A221" t="s">
        <v>16</v>
      </c>
      <c r="B221" t="s">
        <v>24</v>
      </c>
      <c r="C221">
        <v>5</v>
      </c>
      <c r="D221">
        <v>50</v>
      </c>
      <c r="E221">
        <v>0</v>
      </c>
      <c r="F221">
        <v>0</v>
      </c>
      <c r="G221" t="s">
        <v>23</v>
      </c>
      <c r="H221" t="s">
        <v>19</v>
      </c>
      <c r="I221">
        <v>0</v>
      </c>
      <c r="J221" s="2">
        <f>RANK(I221,$I$2:$I$245)</f>
        <v>150</v>
      </c>
      <c r="K221">
        <v>10</v>
      </c>
      <c r="L221">
        <v>0</v>
      </c>
      <c r="M221">
        <f>RANK(L221,$L$2:$L$245)</f>
        <v>150</v>
      </c>
      <c r="N221" s="2">
        <f>I221*EXP(-0.1*K221)</f>
        <v>0</v>
      </c>
      <c r="O221" s="2">
        <f>RANK(N221,$N$2:$N$245)</f>
        <v>150</v>
      </c>
    </row>
    <row r="222" spans="1:15" x14ac:dyDescent="0.2">
      <c r="A222" t="s">
        <v>16</v>
      </c>
      <c r="B222" t="s">
        <v>24</v>
      </c>
      <c r="C222">
        <v>5</v>
      </c>
      <c r="D222">
        <v>25</v>
      </c>
      <c r="E222">
        <v>5</v>
      </c>
      <c r="F222">
        <v>25</v>
      </c>
      <c r="G222" t="s">
        <v>23</v>
      </c>
      <c r="H222" t="s">
        <v>19</v>
      </c>
      <c r="I222">
        <v>0</v>
      </c>
      <c r="J222" s="2">
        <f>RANK(I222,$I$2:$I$245)</f>
        <v>150</v>
      </c>
      <c r="K222">
        <v>10</v>
      </c>
      <c r="L222">
        <v>0</v>
      </c>
      <c r="M222">
        <f>RANK(L222,$L$2:$L$245)</f>
        <v>150</v>
      </c>
      <c r="N222" s="2">
        <f>I222*EXP(-0.1*K222)</f>
        <v>0</v>
      </c>
      <c r="O222" s="2">
        <f>RANK(N222,$N$2:$N$245)</f>
        <v>150</v>
      </c>
    </row>
    <row r="223" spans="1:15" x14ac:dyDescent="0.2">
      <c r="A223" t="s">
        <v>16</v>
      </c>
      <c r="B223" t="s">
        <v>25</v>
      </c>
      <c r="C223">
        <v>5</v>
      </c>
      <c r="D223">
        <v>50</v>
      </c>
      <c r="E223">
        <v>0</v>
      </c>
      <c r="F223">
        <v>0</v>
      </c>
      <c r="G223" t="s">
        <v>23</v>
      </c>
      <c r="H223" t="s">
        <v>19</v>
      </c>
      <c r="I223">
        <v>0</v>
      </c>
      <c r="J223" s="2">
        <f>RANK(I223,$I$2:$I$245)</f>
        <v>150</v>
      </c>
      <c r="K223">
        <v>10</v>
      </c>
      <c r="L223">
        <v>0</v>
      </c>
      <c r="M223">
        <f>RANK(L223,$L$2:$L$245)</f>
        <v>150</v>
      </c>
      <c r="N223" s="2">
        <f>I223*EXP(-0.1*K223)</f>
        <v>0</v>
      </c>
      <c r="O223" s="2">
        <f>RANK(N223,$N$2:$N$245)</f>
        <v>150</v>
      </c>
    </row>
    <row r="224" spans="1:15" x14ac:dyDescent="0.2">
      <c r="A224" t="s">
        <v>16</v>
      </c>
      <c r="B224" t="s">
        <v>17</v>
      </c>
      <c r="C224">
        <v>0</v>
      </c>
      <c r="D224">
        <v>0</v>
      </c>
      <c r="E224">
        <v>5</v>
      </c>
      <c r="F224">
        <v>75</v>
      </c>
      <c r="G224" t="s">
        <v>23</v>
      </c>
      <c r="H224" t="s">
        <v>19</v>
      </c>
      <c r="I224">
        <v>0</v>
      </c>
      <c r="J224" s="2">
        <f>RANK(I224,$I$2:$I$245)</f>
        <v>150</v>
      </c>
      <c r="K224">
        <v>15</v>
      </c>
      <c r="L224">
        <v>0</v>
      </c>
      <c r="M224">
        <f>RANK(L224,$L$2:$L$245)</f>
        <v>150</v>
      </c>
      <c r="N224" s="2">
        <f>I224*EXP(-0.1*K224)</f>
        <v>0</v>
      </c>
      <c r="O224" s="2">
        <f>RANK(N224,$N$2:$N$245)</f>
        <v>150</v>
      </c>
    </row>
    <row r="225" spans="1:15" x14ac:dyDescent="0.2">
      <c r="A225" t="s">
        <v>16</v>
      </c>
      <c r="B225" t="s">
        <v>25</v>
      </c>
      <c r="C225">
        <v>5</v>
      </c>
      <c r="D225">
        <v>25</v>
      </c>
      <c r="E225">
        <v>5</v>
      </c>
      <c r="F225">
        <v>25</v>
      </c>
      <c r="G225" t="s">
        <v>23</v>
      </c>
      <c r="H225" t="s">
        <v>19</v>
      </c>
      <c r="I225">
        <v>0</v>
      </c>
      <c r="J225" s="2">
        <f>RANK(I225,$I$2:$I$245)</f>
        <v>150</v>
      </c>
      <c r="K225">
        <v>10</v>
      </c>
      <c r="L225">
        <v>0</v>
      </c>
      <c r="M225">
        <f>RANK(L225,$L$2:$L$245)</f>
        <v>150</v>
      </c>
      <c r="N225" s="2">
        <f>I225*EXP(-0.1*K225)</f>
        <v>0</v>
      </c>
      <c r="O225" s="2">
        <f>RANK(N225,$N$2:$N$245)</f>
        <v>150</v>
      </c>
    </row>
    <row r="226" spans="1:15" x14ac:dyDescent="0.2">
      <c r="A226" t="s">
        <v>16</v>
      </c>
      <c r="B226" t="s">
        <v>17</v>
      </c>
      <c r="C226">
        <v>0</v>
      </c>
      <c r="D226">
        <v>0</v>
      </c>
      <c r="E226">
        <v>5</v>
      </c>
      <c r="F226">
        <v>100</v>
      </c>
      <c r="G226" t="s">
        <v>18</v>
      </c>
      <c r="H226" t="s">
        <v>19</v>
      </c>
      <c r="I226">
        <v>0</v>
      </c>
      <c r="J226" s="2">
        <f>RANK(I226,$I$2:$I$245)</f>
        <v>150</v>
      </c>
      <c r="K226">
        <v>15.42</v>
      </c>
      <c r="L226">
        <v>0</v>
      </c>
      <c r="M226">
        <f>RANK(L226,$L$2:$L$245)</f>
        <v>150</v>
      </c>
      <c r="N226" s="2">
        <f>I226*EXP(-0.1*K226)</f>
        <v>0</v>
      </c>
      <c r="O226" s="2">
        <f>RANK(N226,$N$2:$N$245)</f>
        <v>150</v>
      </c>
    </row>
    <row r="227" spans="1:15" x14ac:dyDescent="0.2">
      <c r="A227" t="s">
        <v>16</v>
      </c>
      <c r="B227" t="s">
        <v>24</v>
      </c>
      <c r="C227">
        <v>2</v>
      </c>
      <c r="D227">
        <v>12</v>
      </c>
      <c r="E227">
        <v>2</v>
      </c>
      <c r="F227">
        <v>12</v>
      </c>
      <c r="G227" t="s">
        <v>23</v>
      </c>
      <c r="H227" t="s">
        <v>19</v>
      </c>
      <c r="I227">
        <v>0</v>
      </c>
      <c r="J227" s="2">
        <f>RANK(I227,$I$2:$I$245)</f>
        <v>150</v>
      </c>
      <c r="K227">
        <v>12</v>
      </c>
      <c r="L227">
        <v>0</v>
      </c>
      <c r="M227">
        <f>RANK(L227,$L$2:$L$245)</f>
        <v>150</v>
      </c>
      <c r="N227" s="2">
        <f>I227*EXP(-0.1*K227)</f>
        <v>0</v>
      </c>
      <c r="O227" s="2">
        <f>RANK(N227,$N$2:$N$245)</f>
        <v>150</v>
      </c>
    </row>
    <row r="228" spans="1:15" x14ac:dyDescent="0.2">
      <c r="A228" t="s">
        <v>16</v>
      </c>
      <c r="B228" t="s">
        <v>25</v>
      </c>
      <c r="C228">
        <v>2</v>
      </c>
      <c r="D228">
        <v>12</v>
      </c>
      <c r="E228">
        <v>2</v>
      </c>
      <c r="F228">
        <v>12</v>
      </c>
      <c r="G228" t="s">
        <v>23</v>
      </c>
      <c r="H228" t="s">
        <v>19</v>
      </c>
      <c r="I228">
        <v>0</v>
      </c>
      <c r="J228" s="2">
        <f>RANK(I228,$I$2:$I$245)</f>
        <v>150</v>
      </c>
      <c r="K228">
        <v>12</v>
      </c>
      <c r="L228">
        <v>0</v>
      </c>
      <c r="M228">
        <f>RANK(L228,$L$2:$L$245)</f>
        <v>150</v>
      </c>
      <c r="N228" s="2">
        <f>I228*EXP(-0.1*K228)</f>
        <v>0</v>
      </c>
      <c r="O228" s="2">
        <f>RANK(N228,$N$2:$N$245)</f>
        <v>150</v>
      </c>
    </row>
    <row r="229" spans="1:15" x14ac:dyDescent="0.2">
      <c r="A229" t="s">
        <v>16</v>
      </c>
      <c r="B229" t="s">
        <v>17</v>
      </c>
      <c r="C229">
        <v>0</v>
      </c>
      <c r="D229">
        <v>0</v>
      </c>
      <c r="E229">
        <v>5</v>
      </c>
      <c r="F229">
        <v>100</v>
      </c>
      <c r="G229" t="s">
        <v>23</v>
      </c>
      <c r="H229" t="s">
        <v>19</v>
      </c>
      <c r="I229">
        <v>0</v>
      </c>
      <c r="J229" s="2">
        <f>RANK(I229,$I$2:$I$245)</f>
        <v>150</v>
      </c>
      <c r="K229">
        <v>20</v>
      </c>
      <c r="L229">
        <v>0</v>
      </c>
      <c r="M229">
        <f>RANK(L229,$L$2:$L$245)</f>
        <v>150</v>
      </c>
      <c r="N229" s="2">
        <f>I229*EXP(-0.1*K229)</f>
        <v>0</v>
      </c>
      <c r="O229" s="2">
        <f>RANK(N229,$N$2:$N$245)</f>
        <v>150</v>
      </c>
    </row>
    <row r="230" spans="1:15" x14ac:dyDescent="0.2">
      <c r="A230" t="s">
        <v>16</v>
      </c>
      <c r="B230" t="s">
        <v>24</v>
      </c>
      <c r="C230">
        <v>5</v>
      </c>
      <c r="D230">
        <v>37</v>
      </c>
      <c r="E230">
        <v>5</v>
      </c>
      <c r="F230">
        <v>37</v>
      </c>
      <c r="G230" t="s">
        <v>23</v>
      </c>
      <c r="H230" t="s">
        <v>19</v>
      </c>
      <c r="I230">
        <v>0</v>
      </c>
      <c r="J230" s="2">
        <f>RANK(I230,$I$2:$I$245)</f>
        <v>150</v>
      </c>
      <c r="K230">
        <v>14.8</v>
      </c>
      <c r="L230">
        <v>0</v>
      </c>
      <c r="M230">
        <f>RANK(L230,$L$2:$L$245)</f>
        <v>150</v>
      </c>
      <c r="N230" s="2">
        <f>I230*EXP(-0.1*K230)</f>
        <v>0</v>
      </c>
      <c r="O230" s="2">
        <f>RANK(N230,$N$2:$N$245)</f>
        <v>150</v>
      </c>
    </row>
    <row r="231" spans="1:15" x14ac:dyDescent="0.2">
      <c r="A231" t="s">
        <v>16</v>
      </c>
      <c r="B231" t="s">
        <v>25</v>
      </c>
      <c r="C231">
        <v>5</v>
      </c>
      <c r="D231">
        <v>37</v>
      </c>
      <c r="E231">
        <v>5</v>
      </c>
      <c r="F231">
        <v>37</v>
      </c>
      <c r="G231" t="s">
        <v>23</v>
      </c>
      <c r="H231" t="s">
        <v>19</v>
      </c>
      <c r="I231">
        <v>0</v>
      </c>
      <c r="J231" s="2">
        <f>RANK(I231,$I$2:$I$245)</f>
        <v>150</v>
      </c>
      <c r="K231">
        <v>14.8</v>
      </c>
      <c r="L231">
        <v>0</v>
      </c>
      <c r="M231">
        <f>RANK(L231,$L$2:$L$245)</f>
        <v>150</v>
      </c>
      <c r="N231" s="2">
        <f>I231*EXP(-0.1*K231)</f>
        <v>0</v>
      </c>
      <c r="O231" s="2">
        <f>RANK(N231,$N$2:$N$245)</f>
        <v>150</v>
      </c>
    </row>
    <row r="232" spans="1:15" x14ac:dyDescent="0.2">
      <c r="A232" t="s">
        <v>16</v>
      </c>
      <c r="B232" t="s">
        <v>17</v>
      </c>
      <c r="C232">
        <v>0</v>
      </c>
      <c r="D232">
        <v>0</v>
      </c>
      <c r="E232">
        <v>2</v>
      </c>
      <c r="F232">
        <v>50</v>
      </c>
      <c r="G232" t="s">
        <v>18</v>
      </c>
      <c r="H232" t="s">
        <v>19</v>
      </c>
      <c r="I232">
        <v>0</v>
      </c>
      <c r="J232" s="2">
        <f>RANK(I232,$I$2:$I$245)</f>
        <v>150</v>
      </c>
      <c r="K232">
        <v>21.72</v>
      </c>
      <c r="L232">
        <v>0</v>
      </c>
      <c r="M232">
        <f>RANK(L232,$L$2:$L$245)</f>
        <v>150</v>
      </c>
      <c r="N232" s="2">
        <f>I232*EXP(-0.1*K232)</f>
        <v>0</v>
      </c>
      <c r="O232" s="2">
        <f>RANK(N232,$N$2:$N$245)</f>
        <v>150</v>
      </c>
    </row>
    <row r="233" spans="1:15" x14ac:dyDescent="0.2">
      <c r="A233" t="s">
        <v>16</v>
      </c>
      <c r="B233" t="s">
        <v>17</v>
      </c>
      <c r="C233">
        <v>0</v>
      </c>
      <c r="D233">
        <v>0</v>
      </c>
      <c r="E233">
        <v>1</v>
      </c>
      <c r="F233">
        <v>25</v>
      </c>
      <c r="G233" t="s">
        <v>18</v>
      </c>
      <c r="H233" t="s">
        <v>19</v>
      </c>
      <c r="I233">
        <v>0</v>
      </c>
      <c r="J233" s="2">
        <f>RANK(I233,$I$2:$I$245)</f>
        <v>150</v>
      </c>
      <c r="K233">
        <v>23.9</v>
      </c>
      <c r="L233">
        <v>0</v>
      </c>
      <c r="M233">
        <f>RANK(L233,$L$2:$L$245)</f>
        <v>150</v>
      </c>
      <c r="N233" s="2">
        <f>I233*EXP(-0.1*K233)</f>
        <v>0</v>
      </c>
      <c r="O233" s="2">
        <f>RANK(N233,$N$2:$N$245)</f>
        <v>150</v>
      </c>
    </row>
    <row r="234" spans="1:15" x14ac:dyDescent="0.2">
      <c r="A234" t="s">
        <v>16</v>
      </c>
      <c r="B234" t="s">
        <v>17</v>
      </c>
      <c r="C234">
        <v>0</v>
      </c>
      <c r="D234">
        <v>0</v>
      </c>
      <c r="E234">
        <v>1</v>
      </c>
      <c r="F234">
        <v>25</v>
      </c>
      <c r="G234" t="s">
        <v>23</v>
      </c>
      <c r="H234" t="s">
        <v>19</v>
      </c>
      <c r="I234">
        <v>0</v>
      </c>
      <c r="J234" s="2">
        <f>RANK(I234,$I$2:$I$245)</f>
        <v>150</v>
      </c>
      <c r="K234">
        <v>24.5</v>
      </c>
      <c r="L234">
        <v>0</v>
      </c>
      <c r="M234">
        <f>RANK(L234,$L$2:$L$245)</f>
        <v>150</v>
      </c>
      <c r="N234" s="2">
        <f>I234*EXP(-0.1*K234)</f>
        <v>0</v>
      </c>
      <c r="O234" s="2">
        <f>RANK(N234,$N$2:$N$245)</f>
        <v>150</v>
      </c>
    </row>
    <row r="235" spans="1:15" x14ac:dyDescent="0.2">
      <c r="A235" t="s">
        <v>16</v>
      </c>
      <c r="B235" t="s">
        <v>17</v>
      </c>
      <c r="C235">
        <v>0</v>
      </c>
      <c r="D235">
        <v>0</v>
      </c>
      <c r="E235">
        <v>2</v>
      </c>
      <c r="F235">
        <v>50</v>
      </c>
      <c r="G235" t="s">
        <v>23</v>
      </c>
      <c r="H235" t="s">
        <v>19</v>
      </c>
      <c r="I235">
        <v>0</v>
      </c>
      <c r="J235" s="2">
        <f>RANK(I235,$I$2:$I$245)</f>
        <v>150</v>
      </c>
      <c r="K235">
        <v>25</v>
      </c>
      <c r="L235">
        <v>0</v>
      </c>
      <c r="M235">
        <f>RANK(L235,$L$2:$L$245)</f>
        <v>150</v>
      </c>
      <c r="N235" s="2">
        <f>I235*EXP(-0.1*K235)</f>
        <v>0</v>
      </c>
      <c r="O235" s="2">
        <f>RANK(N235,$N$2:$N$245)</f>
        <v>150</v>
      </c>
    </row>
    <row r="236" spans="1:15" x14ac:dyDescent="0.2">
      <c r="A236" t="s">
        <v>16</v>
      </c>
      <c r="B236" t="s">
        <v>17</v>
      </c>
      <c r="C236">
        <v>0</v>
      </c>
      <c r="D236">
        <v>0</v>
      </c>
      <c r="E236">
        <v>2</v>
      </c>
      <c r="F236">
        <v>75</v>
      </c>
      <c r="G236" t="s">
        <v>18</v>
      </c>
      <c r="H236" t="s">
        <v>19</v>
      </c>
      <c r="I236">
        <v>0</v>
      </c>
      <c r="J236" s="2">
        <f>RANK(I236,$I$2:$I$245)</f>
        <v>150</v>
      </c>
      <c r="K236">
        <v>31.4</v>
      </c>
      <c r="L236">
        <v>0</v>
      </c>
      <c r="M236">
        <f>RANK(L236,$L$2:$L$245)</f>
        <v>150</v>
      </c>
      <c r="N236" s="2">
        <f>I236*EXP(-0.1*K236)</f>
        <v>0</v>
      </c>
      <c r="O236" s="2">
        <f>RANK(N236,$N$2:$N$245)</f>
        <v>150</v>
      </c>
    </row>
    <row r="237" spans="1:15" x14ac:dyDescent="0.2">
      <c r="A237" t="s">
        <v>16</v>
      </c>
      <c r="B237" t="s">
        <v>17</v>
      </c>
      <c r="C237">
        <v>0</v>
      </c>
      <c r="D237">
        <v>0</v>
      </c>
      <c r="E237">
        <v>2</v>
      </c>
      <c r="F237">
        <v>100</v>
      </c>
      <c r="G237" t="s">
        <v>18</v>
      </c>
      <c r="H237" t="s">
        <v>19</v>
      </c>
      <c r="I237">
        <v>0</v>
      </c>
      <c r="J237" s="2">
        <f>RANK(I237,$I$2:$I$245)</f>
        <v>150</v>
      </c>
      <c r="K237">
        <v>34.4</v>
      </c>
      <c r="L237">
        <v>0</v>
      </c>
      <c r="M237">
        <f>RANK(L237,$L$2:$L$245)</f>
        <v>150</v>
      </c>
      <c r="N237" s="2">
        <f>I237*EXP(-0.1*K237)</f>
        <v>0</v>
      </c>
      <c r="O237" s="2">
        <f>RANK(N237,$N$2:$N$245)</f>
        <v>150</v>
      </c>
    </row>
    <row r="238" spans="1:15" x14ac:dyDescent="0.2">
      <c r="A238" t="s">
        <v>16</v>
      </c>
      <c r="B238" t="s">
        <v>17</v>
      </c>
      <c r="C238">
        <v>0</v>
      </c>
      <c r="D238">
        <v>0</v>
      </c>
      <c r="E238">
        <v>2</v>
      </c>
      <c r="F238">
        <v>75</v>
      </c>
      <c r="G238" t="s">
        <v>23</v>
      </c>
      <c r="H238" t="s">
        <v>19</v>
      </c>
      <c r="I238">
        <v>0</v>
      </c>
      <c r="J238" s="2">
        <f>RANK(I238,$I$2:$I$245)</f>
        <v>150</v>
      </c>
      <c r="K238">
        <v>37.5</v>
      </c>
      <c r="L238">
        <v>0</v>
      </c>
      <c r="M238">
        <f>RANK(L238,$L$2:$L$245)</f>
        <v>150</v>
      </c>
      <c r="N238" s="2">
        <f>I238*EXP(-0.1*K238)</f>
        <v>0</v>
      </c>
      <c r="O238" s="2">
        <f>RANK(N238,$N$2:$N$245)</f>
        <v>150</v>
      </c>
    </row>
    <row r="239" spans="1:15" x14ac:dyDescent="0.2">
      <c r="A239" t="s">
        <v>16</v>
      </c>
      <c r="B239" t="s">
        <v>17</v>
      </c>
      <c r="C239">
        <v>0</v>
      </c>
      <c r="D239">
        <v>0</v>
      </c>
      <c r="E239">
        <v>1</v>
      </c>
      <c r="F239">
        <v>50</v>
      </c>
      <c r="G239" t="s">
        <v>18</v>
      </c>
      <c r="H239" t="s">
        <v>19</v>
      </c>
      <c r="I239">
        <v>0</v>
      </c>
      <c r="J239" s="2">
        <f>RANK(I239,$I$2:$I$245)</f>
        <v>150</v>
      </c>
      <c r="K239">
        <v>43.46</v>
      </c>
      <c r="L239">
        <v>0</v>
      </c>
      <c r="M239">
        <f>RANK(L239,$L$2:$L$245)</f>
        <v>150</v>
      </c>
      <c r="N239" s="2">
        <f>I239*EXP(-0.1*K239)</f>
        <v>0</v>
      </c>
      <c r="O239" s="2">
        <f>RANK(N239,$N$2:$N$245)</f>
        <v>150</v>
      </c>
    </row>
    <row r="240" spans="1:15" x14ac:dyDescent="0.2">
      <c r="A240" t="s">
        <v>16</v>
      </c>
      <c r="B240" t="s">
        <v>17</v>
      </c>
      <c r="C240">
        <v>0</v>
      </c>
      <c r="D240">
        <v>0</v>
      </c>
      <c r="E240">
        <v>1</v>
      </c>
      <c r="F240">
        <v>50</v>
      </c>
      <c r="G240" t="s">
        <v>23</v>
      </c>
      <c r="H240" t="s">
        <v>19</v>
      </c>
      <c r="I240">
        <v>0</v>
      </c>
      <c r="J240" s="2">
        <f>RANK(I240,$I$2:$I$245)</f>
        <v>150</v>
      </c>
      <c r="K240">
        <v>49</v>
      </c>
      <c r="L240">
        <v>0</v>
      </c>
      <c r="M240">
        <f>RANK(L240,$L$2:$L$245)</f>
        <v>150</v>
      </c>
      <c r="N240" s="2">
        <f>I240*EXP(-0.1*K240)</f>
        <v>0</v>
      </c>
      <c r="O240" s="2">
        <f>RANK(N240,$N$2:$N$245)</f>
        <v>150</v>
      </c>
    </row>
    <row r="241" spans="1:15" x14ac:dyDescent="0.2">
      <c r="A241" t="s">
        <v>16</v>
      </c>
      <c r="B241" t="s">
        <v>17</v>
      </c>
      <c r="C241">
        <v>0</v>
      </c>
      <c r="D241">
        <v>0</v>
      </c>
      <c r="E241">
        <v>2</v>
      </c>
      <c r="F241">
        <v>100</v>
      </c>
      <c r="G241" t="s">
        <v>23</v>
      </c>
      <c r="H241" t="s">
        <v>19</v>
      </c>
      <c r="I241">
        <v>0</v>
      </c>
      <c r="J241" s="2">
        <f>RANK(I241,$I$2:$I$245)</f>
        <v>150</v>
      </c>
      <c r="K241">
        <v>50</v>
      </c>
      <c r="L241">
        <v>0</v>
      </c>
      <c r="M241">
        <f>RANK(L241,$L$2:$L$245)</f>
        <v>150</v>
      </c>
      <c r="N241" s="2">
        <f>I241*EXP(-0.1*K241)</f>
        <v>0</v>
      </c>
      <c r="O241" s="2">
        <f>RANK(N241,$N$2:$N$245)</f>
        <v>150</v>
      </c>
    </row>
    <row r="242" spans="1:15" x14ac:dyDescent="0.2">
      <c r="A242" t="s">
        <v>16</v>
      </c>
      <c r="B242" t="s">
        <v>17</v>
      </c>
      <c r="C242">
        <v>0</v>
      </c>
      <c r="D242">
        <v>0</v>
      </c>
      <c r="E242">
        <v>1</v>
      </c>
      <c r="F242">
        <v>75</v>
      </c>
      <c r="G242" t="s">
        <v>18</v>
      </c>
      <c r="H242" t="s">
        <v>19</v>
      </c>
      <c r="I242">
        <v>0</v>
      </c>
      <c r="J242" s="2">
        <f>RANK(I242,$I$2:$I$245)</f>
        <v>150</v>
      </c>
      <c r="K242">
        <v>61.38</v>
      </c>
      <c r="L242">
        <v>0</v>
      </c>
      <c r="M242">
        <f>RANK(L242,$L$2:$L$245)</f>
        <v>150</v>
      </c>
      <c r="N242" s="2">
        <f>I242*EXP(-0.1*K242)</f>
        <v>0</v>
      </c>
      <c r="O242" s="2">
        <f>RANK(N242,$N$2:$N$245)</f>
        <v>150</v>
      </c>
    </row>
    <row r="243" spans="1:15" x14ac:dyDescent="0.2">
      <c r="A243" t="s">
        <v>16</v>
      </c>
      <c r="B243" t="s">
        <v>17</v>
      </c>
      <c r="C243">
        <v>0</v>
      </c>
      <c r="D243">
        <v>0</v>
      </c>
      <c r="E243">
        <v>1</v>
      </c>
      <c r="F243">
        <v>100</v>
      </c>
      <c r="G243" t="s">
        <v>18</v>
      </c>
      <c r="H243" t="s">
        <v>19</v>
      </c>
      <c r="I243">
        <v>0</v>
      </c>
      <c r="J243" s="2">
        <f>RANK(I243,$I$2:$I$245)</f>
        <v>150</v>
      </c>
      <c r="K243">
        <v>69.38</v>
      </c>
      <c r="L243" s="2">
        <v>0</v>
      </c>
      <c r="M243">
        <f>RANK(L243,$L$2:$L$245)</f>
        <v>150</v>
      </c>
      <c r="N243" s="2">
        <f>I243*EXP(-0.1*K243)</f>
        <v>0</v>
      </c>
      <c r="O243" s="2">
        <f>RANK(N243,$N$2:$N$245)</f>
        <v>150</v>
      </c>
    </row>
    <row r="244" spans="1:15" x14ac:dyDescent="0.2">
      <c r="A244" t="s">
        <v>16</v>
      </c>
      <c r="B244" t="s">
        <v>17</v>
      </c>
      <c r="C244">
        <v>0</v>
      </c>
      <c r="D244">
        <v>0</v>
      </c>
      <c r="E244">
        <v>1</v>
      </c>
      <c r="F244">
        <v>100</v>
      </c>
      <c r="G244" t="s">
        <v>23</v>
      </c>
      <c r="H244" t="s">
        <v>19</v>
      </c>
      <c r="I244">
        <v>0</v>
      </c>
      <c r="J244" s="2">
        <f>RANK(I244,$I$2:$I$245)</f>
        <v>150</v>
      </c>
      <c r="K244">
        <v>71.3</v>
      </c>
      <c r="L244" s="2">
        <v>0</v>
      </c>
      <c r="M244">
        <f>RANK(L244,$L$2:$L$245)</f>
        <v>150</v>
      </c>
      <c r="N244" s="2">
        <f>I244*EXP(-0.1*K244)</f>
        <v>0</v>
      </c>
      <c r="O244" s="2">
        <f>RANK(N244,$N$2:$N$245)</f>
        <v>150</v>
      </c>
    </row>
    <row r="245" spans="1:15" x14ac:dyDescent="0.2">
      <c r="A245" t="s">
        <v>16</v>
      </c>
      <c r="B245" t="s">
        <v>17</v>
      </c>
      <c r="C245">
        <v>0</v>
      </c>
      <c r="D245">
        <v>0</v>
      </c>
      <c r="E245">
        <v>1</v>
      </c>
      <c r="F245">
        <v>75</v>
      </c>
      <c r="G245" t="s">
        <v>23</v>
      </c>
      <c r="H245" t="s">
        <v>19</v>
      </c>
      <c r="I245">
        <v>0</v>
      </c>
      <c r="J245" s="2">
        <f>RANK(I245,$I$2:$I$245)</f>
        <v>150</v>
      </c>
      <c r="K245">
        <v>73.5</v>
      </c>
      <c r="L245" s="2">
        <v>0</v>
      </c>
      <c r="M245">
        <f>RANK(L245,$L$2:$L$245)</f>
        <v>150</v>
      </c>
      <c r="N245" s="2">
        <f>I245*EXP(-0.1*K245)</f>
        <v>0</v>
      </c>
      <c r="O245" s="2">
        <f>RANK(N245,$N$2:$N$245)</f>
        <v>150</v>
      </c>
    </row>
  </sheetData>
  <autoFilter ref="A1:O245" xr:uid="{6D89B2F6-813C-480E-9A65-A5E73BEAEE33}">
    <sortState ref="A2:O245">
      <sortCondition descending="1" ref="N1:N245"/>
    </sortState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DB0B-F9E9-4C0C-AF52-3294DF9FD0DC}">
  <dimension ref="A1:P12"/>
  <sheetViews>
    <sheetView topLeftCell="C1" workbookViewId="0">
      <selection activeCell="C1" sqref="C1:P12"/>
    </sheetView>
  </sheetViews>
  <sheetFormatPr baseColWidth="10" defaultRowHeight="12.75" x14ac:dyDescent="0.2"/>
  <cols>
    <col min="1" max="16384" width="11.42578125" style="4"/>
  </cols>
  <sheetData>
    <row r="1" spans="1:16" x14ac:dyDescent="0.2">
      <c r="A1" s="7" t="s">
        <v>33</v>
      </c>
      <c r="B1" s="7"/>
      <c r="C1" s="7" t="s">
        <v>34</v>
      </c>
      <c r="D1" s="7"/>
      <c r="E1" s="7" t="s">
        <v>35</v>
      </c>
      <c r="F1" s="7"/>
      <c r="G1" s="7" t="s">
        <v>36</v>
      </c>
      <c r="H1" s="7"/>
      <c r="I1" s="7" t="s">
        <v>41</v>
      </c>
      <c r="J1" s="7"/>
      <c r="K1" s="7" t="s">
        <v>43</v>
      </c>
      <c r="L1" s="7"/>
      <c r="M1" s="7" t="s">
        <v>42</v>
      </c>
      <c r="N1" s="7"/>
      <c r="O1" s="7" t="s">
        <v>44</v>
      </c>
      <c r="P1" s="7"/>
    </row>
    <row r="3" spans="1:16" x14ac:dyDescent="0.2">
      <c r="A3" s="4">
        <v>1</v>
      </c>
      <c r="B3" s="4">
        <v>100</v>
      </c>
      <c r="C3" s="4">
        <v>1</v>
      </c>
      <c r="D3" s="4">
        <v>100</v>
      </c>
      <c r="E3" s="4">
        <v>1</v>
      </c>
      <c r="F3" s="4">
        <v>100</v>
      </c>
      <c r="G3" s="4">
        <v>1</v>
      </c>
      <c r="H3" s="4">
        <v>100</v>
      </c>
      <c r="I3" s="4">
        <v>1</v>
      </c>
      <c r="J3" s="4">
        <v>100</v>
      </c>
      <c r="K3" s="4">
        <v>1</v>
      </c>
      <c r="L3" s="4">
        <v>100</v>
      </c>
      <c r="M3" s="4">
        <v>1</v>
      </c>
      <c r="N3" s="4">
        <v>100</v>
      </c>
      <c r="O3" s="4">
        <v>1</v>
      </c>
      <c r="P3" s="4">
        <v>100</v>
      </c>
    </row>
    <row r="4" spans="1:16" x14ac:dyDescent="0.2">
      <c r="A4" s="4">
        <v>1</v>
      </c>
      <c r="B4" s="4">
        <v>75</v>
      </c>
      <c r="C4" s="4">
        <v>1</v>
      </c>
      <c r="D4" s="4">
        <v>75</v>
      </c>
      <c r="E4" s="4">
        <v>1</v>
      </c>
      <c r="F4" s="4">
        <v>75</v>
      </c>
      <c r="G4" s="4">
        <v>1</v>
      </c>
      <c r="H4" s="4">
        <v>75</v>
      </c>
      <c r="I4" s="4">
        <v>1</v>
      </c>
      <c r="J4" s="4">
        <v>75</v>
      </c>
      <c r="K4" s="4">
        <v>1</v>
      </c>
      <c r="L4" s="4">
        <v>75</v>
      </c>
      <c r="M4" s="4">
        <v>1</v>
      </c>
      <c r="N4" s="4">
        <v>75</v>
      </c>
      <c r="O4" s="4">
        <v>1</v>
      </c>
      <c r="P4" s="4">
        <v>75</v>
      </c>
    </row>
    <row r="5" spans="1:16" x14ac:dyDescent="0.2">
      <c r="A5" s="4">
        <v>1</v>
      </c>
      <c r="B5" s="4">
        <v>50</v>
      </c>
      <c r="C5" s="4">
        <v>1</v>
      </c>
      <c r="D5" s="4">
        <v>50</v>
      </c>
      <c r="E5" s="4">
        <v>1</v>
      </c>
      <c r="F5" s="4">
        <v>50</v>
      </c>
      <c r="G5" s="4">
        <v>2</v>
      </c>
      <c r="H5" s="4">
        <v>100</v>
      </c>
      <c r="I5" s="4">
        <v>1</v>
      </c>
      <c r="J5" s="4">
        <v>50</v>
      </c>
      <c r="K5" s="4">
        <v>2</v>
      </c>
      <c r="L5" s="4">
        <v>100</v>
      </c>
      <c r="M5" s="4">
        <v>1</v>
      </c>
      <c r="N5" s="4">
        <v>50</v>
      </c>
      <c r="O5" s="4">
        <v>2</v>
      </c>
      <c r="P5" s="4">
        <v>100</v>
      </c>
    </row>
    <row r="6" spans="1:16" x14ac:dyDescent="0.2">
      <c r="A6" s="4">
        <v>2</v>
      </c>
      <c r="B6" s="4">
        <v>100</v>
      </c>
      <c r="C6" s="4">
        <v>2</v>
      </c>
      <c r="D6" s="4">
        <v>100</v>
      </c>
      <c r="E6" s="4">
        <v>2</v>
      </c>
      <c r="F6" s="4">
        <v>100</v>
      </c>
      <c r="G6" s="4">
        <v>1</v>
      </c>
      <c r="H6" s="4">
        <v>50</v>
      </c>
      <c r="I6" s="4">
        <v>2</v>
      </c>
      <c r="J6" s="4">
        <v>100</v>
      </c>
      <c r="K6" s="4">
        <v>1</v>
      </c>
      <c r="L6" s="4">
        <v>50</v>
      </c>
      <c r="M6" s="4">
        <v>2</v>
      </c>
      <c r="N6" s="4">
        <v>100</v>
      </c>
      <c r="O6" s="4">
        <v>1</v>
      </c>
      <c r="P6" s="4">
        <v>50</v>
      </c>
    </row>
    <row r="7" spans="1:16" x14ac:dyDescent="0.2">
      <c r="A7" s="4">
        <v>2</v>
      </c>
      <c r="B7" s="4">
        <v>75</v>
      </c>
      <c r="C7" s="4">
        <v>2</v>
      </c>
      <c r="D7" s="4">
        <v>75</v>
      </c>
      <c r="E7" s="4">
        <v>2</v>
      </c>
      <c r="F7" s="4">
        <v>75</v>
      </c>
      <c r="G7" s="4">
        <v>2</v>
      </c>
      <c r="H7" s="4">
        <v>75</v>
      </c>
      <c r="I7" s="4">
        <v>2</v>
      </c>
      <c r="J7" s="4">
        <v>75</v>
      </c>
      <c r="K7" s="4">
        <v>2</v>
      </c>
      <c r="L7" s="4">
        <v>75</v>
      </c>
      <c r="M7" s="4">
        <v>2</v>
      </c>
      <c r="N7" s="4">
        <v>75</v>
      </c>
      <c r="O7" s="4">
        <v>2</v>
      </c>
      <c r="P7" s="4">
        <v>75</v>
      </c>
    </row>
    <row r="8" spans="1:16" x14ac:dyDescent="0.2">
      <c r="A8" s="4">
        <v>1</v>
      </c>
      <c r="B8" s="4">
        <v>25</v>
      </c>
      <c r="C8" s="4">
        <v>1</v>
      </c>
      <c r="D8" s="4">
        <v>25</v>
      </c>
      <c r="E8" s="4">
        <v>1</v>
      </c>
      <c r="F8" s="4">
        <v>25</v>
      </c>
      <c r="G8" s="4">
        <v>1</v>
      </c>
      <c r="H8" s="4">
        <v>25</v>
      </c>
      <c r="I8" s="4">
        <v>1</v>
      </c>
      <c r="J8" s="4">
        <v>25</v>
      </c>
      <c r="K8" s="4" t="s">
        <v>38</v>
      </c>
      <c r="L8" s="4">
        <v>50</v>
      </c>
      <c r="M8" s="4" t="s">
        <v>38</v>
      </c>
      <c r="N8" s="4">
        <v>50</v>
      </c>
      <c r="O8" s="4" t="s">
        <v>38</v>
      </c>
      <c r="P8" s="4">
        <v>50</v>
      </c>
    </row>
    <row r="9" spans="1:16" x14ac:dyDescent="0.2">
      <c r="A9" s="4">
        <v>2</v>
      </c>
      <c r="B9" s="4">
        <v>50</v>
      </c>
      <c r="C9" s="4">
        <v>2</v>
      </c>
      <c r="D9" s="4">
        <v>50</v>
      </c>
      <c r="E9" s="4">
        <v>2</v>
      </c>
      <c r="F9" s="4">
        <v>50</v>
      </c>
      <c r="G9" s="4">
        <v>2</v>
      </c>
      <c r="H9" s="4">
        <v>50</v>
      </c>
      <c r="I9" s="4" t="s">
        <v>38</v>
      </c>
      <c r="J9" s="4">
        <v>50</v>
      </c>
      <c r="K9" s="4">
        <v>2</v>
      </c>
      <c r="L9" s="4">
        <v>50</v>
      </c>
      <c r="M9" s="4" t="s">
        <v>38</v>
      </c>
      <c r="N9" s="4">
        <v>37</v>
      </c>
      <c r="O9" s="4" t="s">
        <v>38</v>
      </c>
      <c r="P9" s="4">
        <v>37</v>
      </c>
    </row>
    <row r="10" spans="1:16" x14ac:dyDescent="0.2">
      <c r="A10" s="4">
        <v>5</v>
      </c>
      <c r="B10" s="4">
        <v>100</v>
      </c>
      <c r="C10" s="4">
        <v>5</v>
      </c>
      <c r="D10" s="4">
        <v>100</v>
      </c>
      <c r="E10" s="4">
        <v>5</v>
      </c>
      <c r="F10" s="4">
        <v>100</v>
      </c>
      <c r="G10" s="4">
        <v>5</v>
      </c>
      <c r="H10" s="4">
        <v>100</v>
      </c>
      <c r="I10" s="4">
        <v>2</v>
      </c>
      <c r="J10" s="4">
        <v>50</v>
      </c>
      <c r="K10" s="4">
        <v>1</v>
      </c>
      <c r="L10" s="4">
        <v>25</v>
      </c>
      <c r="M10" s="4" t="s">
        <v>37</v>
      </c>
      <c r="N10" s="4">
        <v>50</v>
      </c>
      <c r="O10" s="4" t="s">
        <v>37</v>
      </c>
      <c r="P10" s="4">
        <v>50</v>
      </c>
    </row>
    <row r="11" spans="1:16" x14ac:dyDescent="0.2">
      <c r="A11" s="4">
        <v>2</v>
      </c>
      <c r="B11" s="4">
        <v>25</v>
      </c>
      <c r="C11" s="4">
        <v>5</v>
      </c>
      <c r="D11" s="4">
        <v>75</v>
      </c>
      <c r="E11" s="4">
        <v>5</v>
      </c>
      <c r="F11" s="4">
        <v>75</v>
      </c>
      <c r="G11" s="4">
        <v>5</v>
      </c>
      <c r="H11" s="4">
        <v>75</v>
      </c>
      <c r="I11" s="4" t="s">
        <v>38</v>
      </c>
      <c r="J11" s="4">
        <v>37</v>
      </c>
      <c r="K11" s="4" t="s">
        <v>38</v>
      </c>
      <c r="L11" s="4">
        <v>37</v>
      </c>
      <c r="M11" s="4" t="s">
        <v>38</v>
      </c>
      <c r="N11" s="4">
        <v>25</v>
      </c>
      <c r="O11" s="4" t="s">
        <v>38</v>
      </c>
      <c r="P11" s="4">
        <v>25</v>
      </c>
    </row>
    <row r="12" spans="1:16" x14ac:dyDescent="0.2">
      <c r="A12" s="4">
        <v>5</v>
      </c>
      <c r="B12" s="4">
        <v>75</v>
      </c>
      <c r="C12" s="4">
        <v>2</v>
      </c>
      <c r="D12" s="4">
        <v>25</v>
      </c>
      <c r="E12" s="4">
        <v>2</v>
      </c>
      <c r="F12" s="4">
        <v>25</v>
      </c>
      <c r="G12" s="4">
        <v>2</v>
      </c>
      <c r="H12" s="4">
        <v>25</v>
      </c>
      <c r="I12" s="4" t="s">
        <v>37</v>
      </c>
      <c r="J12" s="4">
        <v>50</v>
      </c>
      <c r="K12" s="4">
        <v>5</v>
      </c>
      <c r="L12" s="4">
        <v>100</v>
      </c>
      <c r="M12" s="4">
        <v>2</v>
      </c>
      <c r="N12" s="4">
        <v>50</v>
      </c>
      <c r="O12" s="4" t="s">
        <v>39</v>
      </c>
      <c r="P12" s="4" t="s">
        <v>40</v>
      </c>
    </row>
  </sheetData>
  <mergeCells count="8">
    <mergeCell ref="O1:P1"/>
    <mergeCell ref="A1:B1"/>
    <mergeCell ref="C1:D1"/>
    <mergeCell ref="E1:F1"/>
    <mergeCell ref="G1:H1"/>
    <mergeCell ref="M1:N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BC89-A394-4582-98B6-1691CBB50922}">
  <dimension ref="A1:U245"/>
  <sheetViews>
    <sheetView tabSelected="1" topLeftCell="K1" workbookViewId="0">
      <selection activeCell="O3" sqref="O3"/>
    </sheetView>
  </sheetViews>
  <sheetFormatPr baseColWidth="10" defaultRowHeight="12.75" x14ac:dyDescent="0.2"/>
  <cols>
    <col min="10" max="10" width="12.28515625" style="2" bestFit="1" customWidth="1"/>
    <col min="14" max="14" width="11.42578125" style="2"/>
    <col min="15" max="15" width="12.28515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s="2" t="s">
        <v>28</v>
      </c>
      <c r="K1" t="s">
        <v>11</v>
      </c>
      <c r="L1" t="s">
        <v>13</v>
      </c>
      <c r="M1" t="s">
        <v>15</v>
      </c>
      <c r="N1" s="2" t="s">
        <v>46</v>
      </c>
      <c r="O1" t="s">
        <v>45</v>
      </c>
      <c r="P1" t="s">
        <v>47</v>
      </c>
    </row>
    <row r="2" spans="1:16" x14ac:dyDescent="0.2">
      <c r="A2" t="s">
        <v>26</v>
      </c>
      <c r="B2" t="s">
        <v>17</v>
      </c>
      <c r="C2">
        <v>0</v>
      </c>
      <c r="D2">
        <v>0</v>
      </c>
      <c r="E2">
        <v>0</v>
      </c>
      <c r="F2">
        <v>0</v>
      </c>
      <c r="G2" t="s">
        <v>18</v>
      </c>
      <c r="H2" t="s">
        <v>22</v>
      </c>
      <c r="I2">
        <v>0.217391304347826</v>
      </c>
      <c r="J2" s="3">
        <f>RANK(I2,$I$2:$I$245)</f>
        <v>1</v>
      </c>
      <c r="K2">
        <v>0</v>
      </c>
      <c r="L2">
        <v>0</v>
      </c>
      <c r="M2">
        <f>I2/(L2+0.0001)</f>
        <v>2173.9130434782601</v>
      </c>
      <c r="N2" s="2">
        <f>RANK(M2,$M$2:$M$245)</f>
        <v>1</v>
      </c>
      <c r="O2">
        <f>I2*EXP(-0.01*L2)</f>
        <v>0.217391304347826</v>
      </c>
      <c r="P2" s="2">
        <f>RANK(O2,$O$2:$O$245)</f>
        <v>1</v>
      </c>
    </row>
    <row r="3" spans="1:16" x14ac:dyDescent="0.2">
      <c r="A3" t="s">
        <v>26</v>
      </c>
      <c r="B3" t="s">
        <v>17</v>
      </c>
      <c r="C3">
        <v>0</v>
      </c>
      <c r="D3">
        <v>0</v>
      </c>
      <c r="E3">
        <v>2</v>
      </c>
      <c r="F3">
        <v>75</v>
      </c>
      <c r="G3" t="s">
        <v>23</v>
      </c>
      <c r="H3" t="s">
        <v>19</v>
      </c>
      <c r="I3">
        <v>8.9526280847073203E-2</v>
      </c>
      <c r="J3" s="3">
        <f>RANK(I3,$I$2:$I$245)</f>
        <v>2</v>
      </c>
      <c r="K3">
        <v>0</v>
      </c>
      <c r="L3">
        <v>28.7</v>
      </c>
      <c r="M3" s="2">
        <f>I3/(L3+0.0001)</f>
        <v>3.1193717390208815E-3</v>
      </c>
      <c r="N3" s="2">
        <f>RANK(M3,$M$2:$M$245)</f>
        <v>177</v>
      </c>
      <c r="O3" s="2">
        <v>5.0760440247149602E-3</v>
      </c>
      <c r="P3" s="2">
        <f>RANK(O3,$O$2:$O$245)</f>
        <v>212</v>
      </c>
    </row>
    <row r="4" spans="1:16" x14ac:dyDescent="0.2">
      <c r="A4" t="s">
        <v>26</v>
      </c>
      <c r="B4" t="s">
        <v>17</v>
      </c>
      <c r="C4">
        <v>0</v>
      </c>
      <c r="D4">
        <v>0</v>
      </c>
      <c r="E4">
        <v>2</v>
      </c>
      <c r="F4">
        <v>100</v>
      </c>
      <c r="G4" t="s">
        <v>23</v>
      </c>
      <c r="H4" t="s">
        <v>19</v>
      </c>
      <c r="I4">
        <v>8.9267591160300405E-2</v>
      </c>
      <c r="J4" s="3">
        <f>RANK(I4,$I$2:$I$245)</f>
        <v>3</v>
      </c>
      <c r="K4">
        <v>0</v>
      </c>
      <c r="L4">
        <v>35.299999999999997</v>
      </c>
      <c r="M4" s="2">
        <f>I4/(L4+0.0001)</f>
        <v>2.5288197812555887E-3</v>
      </c>
      <c r="N4" s="2">
        <f>RANK(M4,$M$2:$M$245)</f>
        <v>194</v>
      </c>
      <c r="O4">
        <v>2.61597924860599E-3</v>
      </c>
      <c r="P4" s="2">
        <f>RANK(O4,$O$2:$O$245)</f>
        <v>217</v>
      </c>
    </row>
    <row r="5" spans="1:16" x14ac:dyDescent="0.2">
      <c r="A5" t="s">
        <v>26</v>
      </c>
      <c r="B5" t="s">
        <v>17</v>
      </c>
      <c r="C5">
        <v>0</v>
      </c>
      <c r="D5">
        <v>0</v>
      </c>
      <c r="E5">
        <v>5</v>
      </c>
      <c r="F5">
        <v>25</v>
      </c>
      <c r="G5" t="s">
        <v>18</v>
      </c>
      <c r="H5" t="s">
        <v>22</v>
      </c>
      <c r="I5">
        <v>4.6992481203007502E-2</v>
      </c>
      <c r="J5" s="3">
        <f>RANK(I5,$I$2:$I$245)</f>
        <v>4</v>
      </c>
      <c r="K5">
        <v>0</v>
      </c>
      <c r="L5">
        <v>5</v>
      </c>
      <c r="M5" s="2">
        <f>I5/(L5+0.0001)</f>
        <v>9.3983082744360114E-3</v>
      </c>
      <c r="N5" s="2">
        <f>RANK(M5,$M$2:$M$245)</f>
        <v>6</v>
      </c>
      <c r="O5" s="2">
        <f>I5*EXP(-0.01*L5)</f>
        <v>4.4700630850597445E-2</v>
      </c>
      <c r="P5" s="2">
        <f>RANK(O5,$O$2:$O$245)</f>
        <v>2</v>
      </c>
    </row>
    <row r="6" spans="1:16" x14ac:dyDescent="0.2">
      <c r="A6" t="s">
        <v>26</v>
      </c>
      <c r="B6" t="s">
        <v>17</v>
      </c>
      <c r="C6">
        <v>0</v>
      </c>
      <c r="D6">
        <v>0</v>
      </c>
      <c r="E6">
        <v>5</v>
      </c>
      <c r="F6">
        <v>100</v>
      </c>
      <c r="G6" t="s">
        <v>18</v>
      </c>
      <c r="H6" t="s">
        <v>22</v>
      </c>
      <c r="I6">
        <v>4.1876046901172498E-2</v>
      </c>
      <c r="J6" s="3">
        <f>RANK(I6,$I$2:$I$245)</f>
        <v>5</v>
      </c>
      <c r="K6">
        <v>0</v>
      </c>
      <c r="L6">
        <v>10.64</v>
      </c>
      <c r="M6" s="2">
        <f>I6/(L6+0.0001)</f>
        <v>3.9356817042295184E-3</v>
      </c>
      <c r="N6" s="2">
        <f>RANK(M6,$M$2:$M$245)</f>
        <v>118</v>
      </c>
      <c r="O6" s="2">
        <f>I6*EXP(-0.01*L6)</f>
        <v>3.7649286020145389E-2</v>
      </c>
      <c r="P6" s="2">
        <f>RANK(O6,$O$2:$O$245)</f>
        <v>3</v>
      </c>
    </row>
    <row r="7" spans="1:16" x14ac:dyDescent="0.2">
      <c r="A7" t="s">
        <v>26</v>
      </c>
      <c r="B7" t="s">
        <v>17</v>
      </c>
      <c r="C7">
        <v>0</v>
      </c>
      <c r="D7">
        <v>0</v>
      </c>
      <c r="E7">
        <v>5</v>
      </c>
      <c r="F7">
        <v>75</v>
      </c>
      <c r="G7" t="s">
        <v>18</v>
      </c>
      <c r="H7" t="s">
        <v>22</v>
      </c>
      <c r="I7">
        <v>3.5612535612535599E-2</v>
      </c>
      <c r="J7" s="3">
        <f>RANK(I7,$I$2:$I$245)</f>
        <v>6</v>
      </c>
      <c r="K7">
        <v>0</v>
      </c>
      <c r="L7">
        <v>10.119999999999999</v>
      </c>
      <c r="M7" s="2">
        <f>I7/(L7+0.0001)</f>
        <v>3.5189904855224357E-3</v>
      </c>
      <c r="N7" s="2">
        <f>RANK(M7,$M$2:$M$245)</f>
        <v>152</v>
      </c>
      <c r="O7">
        <f>I7*EXP(-0.01*L7)</f>
        <v>3.2184909699314174E-2</v>
      </c>
      <c r="P7" s="2">
        <f>RANK(O7,$O$2:$O$245)</f>
        <v>5</v>
      </c>
    </row>
    <row r="8" spans="1:16" x14ac:dyDescent="0.2">
      <c r="A8" t="s">
        <v>26</v>
      </c>
      <c r="B8" t="s">
        <v>17</v>
      </c>
      <c r="C8">
        <v>0</v>
      </c>
      <c r="D8">
        <v>0</v>
      </c>
      <c r="E8">
        <v>5</v>
      </c>
      <c r="F8">
        <v>50</v>
      </c>
      <c r="G8" t="s">
        <v>18</v>
      </c>
      <c r="H8" t="s">
        <v>22</v>
      </c>
      <c r="I8">
        <v>3.5587188612099599E-2</v>
      </c>
      <c r="J8" s="3">
        <f>RANK(I8,$I$2:$I$245)</f>
        <v>7</v>
      </c>
      <c r="K8">
        <v>0</v>
      </c>
      <c r="L8">
        <v>9.16</v>
      </c>
      <c r="M8" s="2">
        <f>I8/(L8+0.0001)</f>
        <v>3.885021846060589E-3</v>
      </c>
      <c r="N8" s="2">
        <f>RANK(M8,$M$2:$M$245)</f>
        <v>123</v>
      </c>
      <c r="O8" s="2">
        <f>I8*EXP(-0.01*L8)</f>
        <v>3.2472244291211719E-2</v>
      </c>
      <c r="P8" s="2">
        <f>RANK(O8,$O$2:$O$245)</f>
        <v>4</v>
      </c>
    </row>
    <row r="9" spans="1:16" x14ac:dyDescent="0.2">
      <c r="A9" t="s">
        <v>26</v>
      </c>
      <c r="B9" t="s">
        <v>25</v>
      </c>
      <c r="C9">
        <v>5</v>
      </c>
      <c r="D9">
        <v>25</v>
      </c>
      <c r="E9">
        <v>0</v>
      </c>
      <c r="F9">
        <v>0</v>
      </c>
      <c r="G9" t="s">
        <v>23</v>
      </c>
      <c r="H9" t="s">
        <v>19</v>
      </c>
      <c r="I9">
        <v>3.4564766898535E-2</v>
      </c>
      <c r="J9" s="3">
        <f>RANK(I9,$I$2:$I$245)</f>
        <v>8</v>
      </c>
      <c r="K9">
        <v>0.53200000000000003</v>
      </c>
      <c r="L9">
        <v>4.32</v>
      </c>
      <c r="M9" s="2">
        <f>I9/(L9+0.0001)</f>
        <v>8.0009182422941597E-3</v>
      </c>
      <c r="N9" s="2">
        <f>RANK(M9,$M$2:$M$245)</f>
        <v>11</v>
      </c>
      <c r="O9" s="2">
        <v>2.24397707734653E-2</v>
      </c>
      <c r="P9" s="2">
        <f>RANK(O9,$O$2:$O$245)</f>
        <v>7</v>
      </c>
    </row>
    <row r="10" spans="1:16" x14ac:dyDescent="0.2">
      <c r="A10" t="s">
        <v>26</v>
      </c>
      <c r="B10" t="s">
        <v>17</v>
      </c>
      <c r="C10">
        <v>0</v>
      </c>
      <c r="D10">
        <v>0</v>
      </c>
      <c r="E10">
        <v>2</v>
      </c>
      <c r="F10">
        <v>50</v>
      </c>
      <c r="G10" t="s">
        <v>23</v>
      </c>
      <c r="H10" t="s">
        <v>19</v>
      </c>
      <c r="I10">
        <v>2.9984537394681699E-2</v>
      </c>
      <c r="J10" s="3">
        <f>RANK(I10,$I$2:$I$245)</f>
        <v>9</v>
      </c>
      <c r="K10">
        <v>0</v>
      </c>
      <c r="L10">
        <v>25</v>
      </c>
      <c r="M10" s="2">
        <f>I10/(L10+0.0001)</f>
        <v>1.1993766982804749E-3</v>
      </c>
      <c r="N10" s="2">
        <f>RANK(M10,$M$2:$M$245)</f>
        <v>202</v>
      </c>
      <c r="O10" s="2">
        <v>2.4612807107806901E-3</v>
      </c>
      <c r="P10" s="2">
        <f>RANK(O10,$O$2:$O$245)</f>
        <v>218</v>
      </c>
    </row>
    <row r="11" spans="1:16" x14ac:dyDescent="0.2">
      <c r="A11" t="s">
        <v>26</v>
      </c>
      <c r="B11" t="s">
        <v>17</v>
      </c>
      <c r="C11">
        <v>0</v>
      </c>
      <c r="D11">
        <v>0</v>
      </c>
      <c r="E11">
        <v>2</v>
      </c>
      <c r="F11">
        <v>100</v>
      </c>
      <c r="G11" t="s">
        <v>18</v>
      </c>
      <c r="H11" t="s">
        <v>22</v>
      </c>
      <c r="I11">
        <v>2.78396436525612E-2</v>
      </c>
      <c r="J11" s="3">
        <f>RANK(I11,$I$2:$I$245)</f>
        <v>10</v>
      </c>
      <c r="K11">
        <v>0</v>
      </c>
      <c r="L11">
        <v>23.96</v>
      </c>
      <c r="M11" s="2">
        <f>I11/(L11+0.0001)</f>
        <v>1.1619168389347791E-3</v>
      </c>
      <c r="N11" s="2">
        <f>RANK(M11,$M$2:$M$245)</f>
        <v>204</v>
      </c>
      <c r="O11" s="2">
        <f>I11*EXP(-0.01*L11)</f>
        <v>2.190820086719374E-2</v>
      </c>
      <c r="P11" s="2">
        <f>RANK(O11,$O$2:$O$245)</f>
        <v>8</v>
      </c>
    </row>
    <row r="12" spans="1:16" x14ac:dyDescent="0.2">
      <c r="A12" t="s">
        <v>26</v>
      </c>
      <c r="B12" t="s">
        <v>17</v>
      </c>
      <c r="C12">
        <v>0</v>
      </c>
      <c r="D12">
        <v>0</v>
      </c>
      <c r="E12">
        <v>2</v>
      </c>
      <c r="F12">
        <v>25</v>
      </c>
      <c r="G12" t="s">
        <v>18</v>
      </c>
      <c r="H12" t="s">
        <v>22</v>
      </c>
      <c r="I12">
        <v>2.7639579878385799E-2</v>
      </c>
      <c r="J12" s="3">
        <f>RANK(I12,$I$2:$I$245)</f>
        <v>11</v>
      </c>
      <c r="K12">
        <v>0</v>
      </c>
      <c r="L12">
        <v>12.18</v>
      </c>
      <c r="M12" s="2">
        <f>I12/(L12+0.0001)</f>
        <v>2.2692408008461178E-3</v>
      </c>
      <c r="N12" s="2">
        <f>RANK(M12,$M$2:$M$245)</f>
        <v>196</v>
      </c>
      <c r="O12" s="2">
        <f>I12*EXP(-0.01*L12)</f>
        <v>2.4470022550593523E-2</v>
      </c>
      <c r="P12" s="2">
        <f>RANK(O12,$O$2:$O$245)</f>
        <v>6</v>
      </c>
    </row>
    <row r="13" spans="1:16" x14ac:dyDescent="0.2">
      <c r="A13" t="s">
        <v>26</v>
      </c>
      <c r="B13" t="s">
        <v>17</v>
      </c>
      <c r="C13">
        <v>0</v>
      </c>
      <c r="D13">
        <v>0</v>
      </c>
      <c r="E13">
        <v>2</v>
      </c>
      <c r="F13">
        <v>75</v>
      </c>
      <c r="G13" t="s">
        <v>18</v>
      </c>
      <c r="H13" t="s">
        <v>22</v>
      </c>
      <c r="I13">
        <v>2.4378352023403198E-2</v>
      </c>
      <c r="J13" s="3">
        <f>RANK(I13,$I$2:$I$245)</f>
        <v>12</v>
      </c>
      <c r="K13">
        <v>0</v>
      </c>
      <c r="L13">
        <v>22</v>
      </c>
      <c r="M13" s="2">
        <f>I13/(L13+0.0001)</f>
        <v>1.1081018733279939E-3</v>
      </c>
      <c r="N13" s="2">
        <f>RANK(M13,$M$2:$M$245)</f>
        <v>206</v>
      </c>
      <c r="O13" s="2">
        <f>I13*EXP(-0.01*L13)</f>
        <v>1.9564085762127689E-2</v>
      </c>
      <c r="P13" s="2">
        <f>RANK(O13,$O$2:$O$245)</f>
        <v>9</v>
      </c>
    </row>
    <row r="14" spans="1:16" x14ac:dyDescent="0.2">
      <c r="A14" t="s">
        <v>26</v>
      </c>
      <c r="B14" t="s">
        <v>17</v>
      </c>
      <c r="C14">
        <v>0</v>
      </c>
      <c r="D14">
        <v>0</v>
      </c>
      <c r="E14">
        <v>1</v>
      </c>
      <c r="F14">
        <v>25</v>
      </c>
      <c r="G14" t="s">
        <v>23</v>
      </c>
      <c r="H14" t="s">
        <v>19</v>
      </c>
      <c r="I14">
        <v>2.2886119082353901E-2</v>
      </c>
      <c r="J14" s="3">
        <f>RANK(I14,$I$2:$I$245)</f>
        <v>13</v>
      </c>
      <c r="K14">
        <v>0</v>
      </c>
      <c r="L14">
        <v>24.5</v>
      </c>
      <c r="M14" s="2">
        <f>I14/(L14+0.0001)</f>
        <v>9.3412349673486648E-4</v>
      </c>
      <c r="N14" s="2">
        <f>RANK(M14,$M$2:$M$245)</f>
        <v>211</v>
      </c>
      <c r="O14" s="2">
        <v>1.9749252966679998E-3</v>
      </c>
      <c r="P14" s="2">
        <f>RANK(O14,$O$2:$O$245)</f>
        <v>223</v>
      </c>
    </row>
    <row r="15" spans="1:16" x14ac:dyDescent="0.2">
      <c r="A15" t="s">
        <v>26</v>
      </c>
      <c r="B15" t="s">
        <v>17</v>
      </c>
      <c r="C15">
        <v>0</v>
      </c>
      <c r="D15">
        <v>0</v>
      </c>
      <c r="E15">
        <v>2</v>
      </c>
      <c r="F15">
        <v>50</v>
      </c>
      <c r="G15" t="s">
        <v>18</v>
      </c>
      <c r="H15" t="s">
        <v>22</v>
      </c>
      <c r="I15">
        <v>2.22617987533393E-2</v>
      </c>
      <c r="J15" s="3">
        <f>RANK(I15,$I$2:$I$245)</f>
        <v>14</v>
      </c>
      <c r="K15">
        <v>0</v>
      </c>
      <c r="L15">
        <v>18.62</v>
      </c>
      <c r="M15" s="2">
        <f>I15/(L15+0.0001)</f>
        <v>1.195578904159446E-3</v>
      </c>
      <c r="N15" s="2">
        <f>RANK(M15,$M$2:$M$245)</f>
        <v>203</v>
      </c>
      <c r="O15" s="2">
        <f>I15*EXP(-0.01*L15)</f>
        <v>1.8479687374606018E-2</v>
      </c>
      <c r="P15" s="2">
        <f>RANK(O15,$O$2:$O$245)</f>
        <v>10</v>
      </c>
    </row>
    <row r="16" spans="1:16" x14ac:dyDescent="0.2">
      <c r="A16" t="s">
        <v>26</v>
      </c>
      <c r="B16" t="s">
        <v>17</v>
      </c>
      <c r="C16">
        <v>0</v>
      </c>
      <c r="D16">
        <v>0</v>
      </c>
      <c r="E16">
        <v>1</v>
      </c>
      <c r="F16">
        <v>50</v>
      </c>
      <c r="G16" t="s">
        <v>23</v>
      </c>
      <c r="H16" t="s">
        <v>22</v>
      </c>
      <c r="I16">
        <v>2.22617987533393E-2</v>
      </c>
      <c r="J16" s="3">
        <f>RANK(I16,$I$2:$I$245)</f>
        <v>14</v>
      </c>
      <c r="K16">
        <v>0</v>
      </c>
      <c r="L16">
        <v>34.9</v>
      </c>
      <c r="M16" s="2">
        <f>I16/(L16+0.0001)</f>
        <v>6.3787206206685073E-4</v>
      </c>
      <c r="N16" s="2">
        <f>RANK(M16,$M$2:$M$245)</f>
        <v>219</v>
      </c>
      <c r="O16" s="2">
        <v>6.7900427807697104E-4</v>
      </c>
      <c r="P16" s="2">
        <f>RANK(O16,$O$2:$O$245)</f>
        <v>239</v>
      </c>
    </row>
    <row r="17" spans="1:16" x14ac:dyDescent="0.2">
      <c r="A17" t="s">
        <v>26</v>
      </c>
      <c r="B17" t="s">
        <v>17</v>
      </c>
      <c r="C17">
        <v>0</v>
      </c>
      <c r="D17">
        <v>0</v>
      </c>
      <c r="E17">
        <v>1</v>
      </c>
      <c r="F17">
        <v>100</v>
      </c>
      <c r="G17" t="s">
        <v>18</v>
      </c>
      <c r="H17" t="s">
        <v>22</v>
      </c>
      <c r="I17">
        <v>2.0764119601328901E-2</v>
      </c>
      <c r="J17" s="3">
        <f>RANK(I17,$I$2:$I$245)</f>
        <v>16</v>
      </c>
      <c r="K17">
        <v>0</v>
      </c>
      <c r="L17">
        <v>44.58</v>
      </c>
      <c r="M17" s="2">
        <f>I17/(L17+0.0001)</f>
        <v>4.6577104136888208E-4</v>
      </c>
      <c r="N17" s="2">
        <f>RANK(M17,$M$2:$M$245)</f>
        <v>233</v>
      </c>
      <c r="O17" s="2">
        <f>I17*EXP(-0.01*L17)</f>
        <v>1.3295511246274677E-2</v>
      </c>
      <c r="P17" s="2">
        <f>RANK(O17,$O$2:$O$245)</f>
        <v>23</v>
      </c>
    </row>
    <row r="18" spans="1:16" x14ac:dyDescent="0.2">
      <c r="A18" t="s">
        <v>26</v>
      </c>
      <c r="B18" t="s">
        <v>24</v>
      </c>
      <c r="C18">
        <v>5</v>
      </c>
      <c r="D18">
        <v>25</v>
      </c>
      <c r="E18">
        <v>0</v>
      </c>
      <c r="F18">
        <v>0</v>
      </c>
      <c r="G18" t="s">
        <v>23</v>
      </c>
      <c r="H18" t="s">
        <v>19</v>
      </c>
      <c r="I18">
        <v>1.9352978431090601E-2</v>
      </c>
      <c r="J18" s="3">
        <f>RANK(I18,$I$2:$I$245)</f>
        <v>17</v>
      </c>
      <c r="K18">
        <v>0.94399999999999995</v>
      </c>
      <c r="L18">
        <v>3.02</v>
      </c>
      <c r="M18" s="2">
        <f>I18/(L18+0.0001)</f>
        <v>6.4080588162943606E-3</v>
      </c>
      <c r="N18" s="2">
        <f>RANK(M18,$M$2:$M$245)</f>
        <v>39</v>
      </c>
      <c r="O18" s="2">
        <v>1.4308393623091401E-2</v>
      </c>
      <c r="P18" s="2">
        <f>RANK(O18,$O$2:$O$245)</f>
        <v>18</v>
      </c>
    </row>
    <row r="19" spans="1:16" x14ac:dyDescent="0.2">
      <c r="A19" t="s">
        <v>26</v>
      </c>
      <c r="B19" t="s">
        <v>17</v>
      </c>
      <c r="C19">
        <v>0</v>
      </c>
      <c r="D19">
        <v>0</v>
      </c>
      <c r="E19">
        <v>1</v>
      </c>
      <c r="F19">
        <v>25</v>
      </c>
      <c r="G19" t="s">
        <v>18</v>
      </c>
      <c r="H19" t="s">
        <v>22</v>
      </c>
      <c r="I19">
        <v>1.90621425848265E-2</v>
      </c>
      <c r="J19" s="3">
        <f>RANK(I19,$I$2:$I$245)</f>
        <v>18</v>
      </c>
      <c r="K19">
        <v>0</v>
      </c>
      <c r="L19">
        <v>20.76</v>
      </c>
      <c r="M19" s="2">
        <f>I19/(L19+0.0001)</f>
        <v>9.1821053775398482E-4</v>
      </c>
      <c r="N19" s="2">
        <f>RANK(M19,$M$2:$M$245)</f>
        <v>212</v>
      </c>
      <c r="O19" s="2">
        <f>I19*EXP(-0.01*L19)</f>
        <v>1.5488600543496944E-2</v>
      </c>
      <c r="P19" s="2">
        <f>RANK(O19,$O$2:$O$245)</f>
        <v>12</v>
      </c>
    </row>
    <row r="20" spans="1:16" x14ac:dyDescent="0.2">
      <c r="A20" t="s">
        <v>26</v>
      </c>
      <c r="B20" t="s">
        <v>17</v>
      </c>
      <c r="C20">
        <v>0</v>
      </c>
      <c r="D20">
        <v>0</v>
      </c>
      <c r="E20">
        <v>1</v>
      </c>
      <c r="F20">
        <v>100</v>
      </c>
      <c r="G20" t="s">
        <v>18</v>
      </c>
      <c r="H20" t="s">
        <v>19</v>
      </c>
      <c r="I20">
        <v>1.8852573004637701E-2</v>
      </c>
      <c r="J20" s="3">
        <f>RANK(I20,$I$2:$I$245)</f>
        <v>19</v>
      </c>
      <c r="K20">
        <v>0</v>
      </c>
      <c r="L20">
        <v>40.700000000000003</v>
      </c>
      <c r="M20" s="2">
        <f>I20/(L20+0.0001)</f>
        <v>4.6320704383128537E-4</v>
      </c>
      <c r="N20" s="2">
        <f>RANK(M20,$M$2:$M$245)</f>
        <v>234</v>
      </c>
      <c r="O20" s="2">
        <f>I20*EXP(-0.01*L20)</f>
        <v>1.2549105692772379E-2</v>
      </c>
      <c r="P20" s="2">
        <f>RANK(O20,$O$2:$O$245)</f>
        <v>26</v>
      </c>
    </row>
    <row r="21" spans="1:16" x14ac:dyDescent="0.2">
      <c r="A21" t="s">
        <v>26</v>
      </c>
      <c r="B21" t="s">
        <v>17</v>
      </c>
      <c r="C21">
        <v>0</v>
      </c>
      <c r="D21">
        <v>0</v>
      </c>
      <c r="E21">
        <v>1</v>
      </c>
      <c r="F21">
        <v>75</v>
      </c>
      <c r="G21" t="s">
        <v>18</v>
      </c>
      <c r="H21" t="s">
        <v>22</v>
      </c>
      <c r="I21">
        <v>1.84842883548983E-2</v>
      </c>
      <c r="J21" s="3">
        <f>RANK(I21,$I$2:$I$245)</f>
        <v>20</v>
      </c>
      <c r="K21">
        <v>0</v>
      </c>
      <c r="L21">
        <v>38.94</v>
      </c>
      <c r="M21" s="2">
        <f>I21/(L21+0.0001)</f>
        <v>4.7468517941397941E-4</v>
      </c>
      <c r="N21" s="2">
        <f>RANK(M21,$M$2:$M$245)</f>
        <v>232</v>
      </c>
      <c r="O21" s="2">
        <f>I21*EXP(-0.01*L21)</f>
        <v>1.2522425702726015E-2</v>
      </c>
      <c r="P21" s="2">
        <f>RANK(O21,$O$2:$O$245)</f>
        <v>28</v>
      </c>
    </row>
    <row r="22" spans="1:16" x14ac:dyDescent="0.2">
      <c r="A22" t="s">
        <v>26</v>
      </c>
      <c r="B22" t="s">
        <v>17</v>
      </c>
      <c r="C22">
        <v>0</v>
      </c>
      <c r="D22">
        <v>0</v>
      </c>
      <c r="E22">
        <v>2</v>
      </c>
      <c r="F22">
        <v>100</v>
      </c>
      <c r="G22" t="s">
        <v>18</v>
      </c>
      <c r="H22" t="s">
        <v>19</v>
      </c>
      <c r="I22">
        <v>1.72335812290592E-2</v>
      </c>
      <c r="J22" s="2">
        <f>RANK(I22,$I$2:$I$245)</f>
        <v>21</v>
      </c>
      <c r="K22">
        <v>0</v>
      </c>
      <c r="L22">
        <v>15.8</v>
      </c>
      <c r="M22" s="2">
        <f>I22/(L22+0.0001)</f>
        <v>1.0907260858513048E-3</v>
      </c>
      <c r="N22" s="2">
        <f>RANK(M22,$M$2:$M$245)</f>
        <v>207</v>
      </c>
      <c r="O22" s="2">
        <f>I22*EXP(-0.01*L22)</f>
        <v>1.4714889574968318E-2</v>
      </c>
      <c r="P22" s="2">
        <f>RANK(O22,$O$2:$O$245)</f>
        <v>17</v>
      </c>
    </row>
    <row r="23" spans="1:16" x14ac:dyDescent="0.2">
      <c r="A23" t="s">
        <v>26</v>
      </c>
      <c r="B23" t="s">
        <v>17</v>
      </c>
      <c r="C23">
        <v>0</v>
      </c>
      <c r="D23">
        <v>0</v>
      </c>
      <c r="E23">
        <v>1</v>
      </c>
      <c r="F23">
        <v>50</v>
      </c>
      <c r="G23" t="s">
        <v>18</v>
      </c>
      <c r="H23" t="s">
        <v>22</v>
      </c>
      <c r="I23">
        <v>1.71232876712329E-2</v>
      </c>
      <c r="J23" s="2">
        <f>RANK(I23,$I$2:$I$245)</f>
        <v>22</v>
      </c>
      <c r="K23">
        <v>0</v>
      </c>
      <c r="L23">
        <v>31.14</v>
      </c>
      <c r="M23" s="2">
        <f>I23/(L23+0.0001)</f>
        <v>5.4987902001704875E-4</v>
      </c>
      <c r="N23" s="2">
        <f>RANK(M23,$M$2:$M$245)</f>
        <v>224</v>
      </c>
      <c r="O23">
        <f>I23*EXP(-0.01*L23)</f>
        <v>1.254145289260755E-2</v>
      </c>
      <c r="P23" s="2">
        <f>RANK(O23,$O$2:$O$245)</f>
        <v>27</v>
      </c>
    </row>
    <row r="24" spans="1:16" x14ac:dyDescent="0.2">
      <c r="A24" t="s">
        <v>26</v>
      </c>
      <c r="B24" t="s">
        <v>17</v>
      </c>
      <c r="C24">
        <v>0</v>
      </c>
      <c r="D24">
        <v>0</v>
      </c>
      <c r="E24">
        <v>1</v>
      </c>
      <c r="F24">
        <v>75</v>
      </c>
      <c r="G24" t="s">
        <v>18</v>
      </c>
      <c r="H24" t="s">
        <v>19</v>
      </c>
      <c r="I24">
        <v>1.7109457300575E-2</v>
      </c>
      <c r="J24" s="2">
        <f>RANK(I24,$I$2:$I$245)</f>
        <v>23</v>
      </c>
      <c r="K24">
        <v>0</v>
      </c>
      <c r="L24">
        <v>33.86</v>
      </c>
      <c r="M24" s="2">
        <f>I24/(L24+0.0001)</f>
        <v>5.0529848702676598E-4</v>
      </c>
      <c r="N24" s="2">
        <f>RANK(M24,$M$2:$M$245)</f>
        <v>229</v>
      </c>
      <c r="O24" s="2">
        <f>I24*EXP(-0.01*L24)</f>
        <v>1.2195065090661752E-2</v>
      </c>
      <c r="P24" s="2">
        <f>RANK(O24,$O$2:$O$245)</f>
        <v>30</v>
      </c>
    </row>
    <row r="25" spans="1:16" x14ac:dyDescent="0.2">
      <c r="A25" t="s">
        <v>26</v>
      </c>
      <c r="B25" t="s">
        <v>17</v>
      </c>
      <c r="C25">
        <v>0</v>
      </c>
      <c r="D25">
        <v>0</v>
      </c>
      <c r="E25">
        <v>2</v>
      </c>
      <c r="F25">
        <v>75</v>
      </c>
      <c r="G25" t="s">
        <v>18</v>
      </c>
      <c r="H25" t="s">
        <v>19</v>
      </c>
      <c r="I25">
        <v>1.6521692069292299E-2</v>
      </c>
      <c r="J25" s="2">
        <f>RANK(I25,$I$2:$I$245)</f>
        <v>24</v>
      </c>
      <c r="K25">
        <v>0</v>
      </c>
      <c r="L25">
        <v>15.74</v>
      </c>
      <c r="M25" s="2">
        <f>I25/(L25+0.0001)</f>
        <v>1.0496561056976955E-3</v>
      </c>
      <c r="N25" s="2">
        <f>RANK(M25,$M$2:$M$245)</f>
        <v>208</v>
      </c>
      <c r="O25" s="2">
        <f>I25*EXP(-0.01*L25)</f>
        <v>1.4115509936793993E-2</v>
      </c>
      <c r="P25" s="2">
        <f>RANK(O25,$O$2:$O$245)</f>
        <v>19</v>
      </c>
    </row>
    <row r="26" spans="1:16" x14ac:dyDescent="0.2">
      <c r="A26" t="s">
        <v>26</v>
      </c>
      <c r="B26" t="s">
        <v>17</v>
      </c>
      <c r="C26">
        <v>0</v>
      </c>
      <c r="D26">
        <v>0</v>
      </c>
      <c r="E26">
        <v>1</v>
      </c>
      <c r="F26">
        <v>100</v>
      </c>
      <c r="G26" t="s">
        <v>23</v>
      </c>
      <c r="H26" t="s">
        <v>22</v>
      </c>
      <c r="I26">
        <v>1.62284972411555E-2</v>
      </c>
      <c r="J26" s="2">
        <f>RANK(I26,$I$2:$I$245)</f>
        <v>25</v>
      </c>
      <c r="K26">
        <v>0</v>
      </c>
      <c r="L26">
        <v>30.96</v>
      </c>
      <c r="M26" s="2">
        <f>I26/(L26+0.0001)</f>
        <v>5.2417457440885205E-4</v>
      </c>
      <c r="N26" s="2">
        <f>RANK(M26,$M$2:$M$245)</f>
        <v>227</v>
      </c>
      <c r="O26" s="2">
        <v>7.3401103664000301E-4</v>
      </c>
      <c r="P26" s="2">
        <f>RANK(O26,$O$2:$O$245)</f>
        <v>238</v>
      </c>
    </row>
    <row r="27" spans="1:16" x14ac:dyDescent="0.2">
      <c r="A27" t="s">
        <v>26</v>
      </c>
      <c r="B27" t="s">
        <v>17</v>
      </c>
      <c r="C27">
        <v>0</v>
      </c>
      <c r="D27">
        <v>0</v>
      </c>
      <c r="E27">
        <v>5</v>
      </c>
      <c r="F27">
        <v>100</v>
      </c>
      <c r="G27" t="s">
        <v>18</v>
      </c>
      <c r="H27" t="s">
        <v>19</v>
      </c>
      <c r="I27">
        <v>1.6226770248098599E-2</v>
      </c>
      <c r="J27" s="2">
        <f>RANK(I27,$I$2:$I$245)</f>
        <v>26</v>
      </c>
      <c r="K27">
        <v>0.79200000000000004</v>
      </c>
      <c r="L27">
        <v>6.06</v>
      </c>
      <c r="M27" s="2">
        <f>I27/(L27+0.0001)</f>
        <v>2.6776406739325424E-3</v>
      </c>
      <c r="N27" s="2">
        <f>RANK(M27,$M$2:$M$245)</f>
        <v>190</v>
      </c>
      <c r="O27">
        <f>I27*EXP(-0.01*L27)</f>
        <v>1.5272630386424119E-2</v>
      </c>
      <c r="P27" s="2">
        <f>RANK(O27,$O$2:$O$245)</f>
        <v>13</v>
      </c>
    </row>
    <row r="28" spans="1:16" x14ac:dyDescent="0.2">
      <c r="A28" t="s">
        <v>26</v>
      </c>
      <c r="B28" t="s">
        <v>17</v>
      </c>
      <c r="C28">
        <v>0</v>
      </c>
      <c r="D28">
        <v>0</v>
      </c>
      <c r="E28">
        <v>5</v>
      </c>
      <c r="F28">
        <v>75</v>
      </c>
      <c r="G28" t="s">
        <v>18</v>
      </c>
      <c r="H28" t="s">
        <v>19</v>
      </c>
      <c r="I28">
        <v>1.5897980664970199E-2</v>
      </c>
      <c r="J28" s="2">
        <f>RANK(I28,$I$2:$I$245)</f>
        <v>27</v>
      </c>
      <c r="K28">
        <v>0.872</v>
      </c>
      <c r="L28">
        <v>5.0999999999999996</v>
      </c>
      <c r="M28" s="2">
        <f>I28/(L28+0.0001)</f>
        <v>3.1171899894061298E-3</v>
      </c>
      <c r="N28" s="2">
        <f>RANK(M28,$M$2:$M$245)</f>
        <v>178</v>
      </c>
      <c r="O28" s="2">
        <f>I28*EXP(-0.01*L28)</f>
        <v>1.510751193045811E-2</v>
      </c>
      <c r="P28" s="2">
        <f>RANK(O28,$O$2:$O$245)</f>
        <v>14</v>
      </c>
    </row>
    <row r="29" spans="1:16" x14ac:dyDescent="0.2">
      <c r="A29" t="s">
        <v>26</v>
      </c>
      <c r="B29" t="s">
        <v>17</v>
      </c>
      <c r="C29">
        <v>0</v>
      </c>
      <c r="D29">
        <v>0</v>
      </c>
      <c r="E29">
        <v>1</v>
      </c>
      <c r="F29">
        <v>50</v>
      </c>
      <c r="G29" t="s">
        <v>18</v>
      </c>
      <c r="H29" t="s">
        <v>19</v>
      </c>
      <c r="I29">
        <v>1.5787443612699299E-2</v>
      </c>
      <c r="J29" s="2">
        <f>RANK(I29,$I$2:$I$245)</f>
        <v>28</v>
      </c>
      <c r="K29">
        <v>0</v>
      </c>
      <c r="L29">
        <v>27.16</v>
      </c>
      <c r="M29" s="2">
        <f>I29/(L29+0.0001)</f>
        <v>5.8127339784092469E-4</v>
      </c>
      <c r="N29" s="2">
        <f>RANK(M29,$M$2:$M$245)</f>
        <v>222</v>
      </c>
      <c r="O29" s="2">
        <f>I29*EXP(-0.01*L29)</f>
        <v>1.2032543242872524E-2</v>
      </c>
      <c r="P29" s="2">
        <f>RANK(O29,$O$2:$O$245)</f>
        <v>33</v>
      </c>
    </row>
    <row r="30" spans="1:16" x14ac:dyDescent="0.2">
      <c r="A30" t="s">
        <v>26</v>
      </c>
      <c r="B30" t="s">
        <v>17</v>
      </c>
      <c r="C30">
        <v>0</v>
      </c>
      <c r="D30">
        <v>0</v>
      </c>
      <c r="E30">
        <v>2</v>
      </c>
      <c r="F30">
        <v>50</v>
      </c>
      <c r="G30" t="s">
        <v>18</v>
      </c>
      <c r="H30" t="s">
        <v>19</v>
      </c>
      <c r="I30">
        <v>1.5741369589171699E-2</v>
      </c>
      <c r="J30" s="2">
        <f>RANK(I30,$I$2:$I$245)</f>
        <v>29</v>
      </c>
      <c r="K30">
        <v>6.0000000000000001E-3</v>
      </c>
      <c r="L30">
        <v>11.94</v>
      </c>
      <c r="M30" s="2">
        <f>I30/(L30+0.0001)</f>
        <v>1.3183616208550766E-3</v>
      </c>
      <c r="N30" s="2">
        <f>RANK(M30,$M$2:$M$245)</f>
        <v>201</v>
      </c>
      <c r="O30">
        <f>I30*EXP(-0.01*L30)</f>
        <v>1.3969721709532992E-2</v>
      </c>
      <c r="P30" s="2">
        <f>RANK(O30,$O$2:$O$245)</f>
        <v>21</v>
      </c>
    </row>
    <row r="31" spans="1:16" x14ac:dyDescent="0.2">
      <c r="A31" t="s">
        <v>26</v>
      </c>
      <c r="B31" t="s">
        <v>25</v>
      </c>
      <c r="C31">
        <v>5</v>
      </c>
      <c r="D31">
        <v>25</v>
      </c>
      <c r="E31">
        <v>5</v>
      </c>
      <c r="F31">
        <v>25</v>
      </c>
      <c r="G31" t="s">
        <v>23</v>
      </c>
      <c r="H31" t="s">
        <v>19</v>
      </c>
      <c r="I31">
        <v>1.5703428814170001E-2</v>
      </c>
      <c r="J31" s="2">
        <f>RANK(I31,$I$2:$I$245)</f>
        <v>30</v>
      </c>
      <c r="K31">
        <v>0.99</v>
      </c>
      <c r="L31">
        <v>5.2</v>
      </c>
      <c r="M31" s="2">
        <f>I31/(L31+0.0001)</f>
        <v>3.0198320828772524E-3</v>
      </c>
      <c r="N31" s="2">
        <f>RANK(M31,$M$2:$M$245)</f>
        <v>183</v>
      </c>
      <c r="O31" s="2">
        <v>9.3360111036112896E-3</v>
      </c>
      <c r="P31" s="2">
        <f>RANK(O31,$O$2:$O$245)</f>
        <v>133</v>
      </c>
    </row>
    <row r="32" spans="1:16" x14ac:dyDescent="0.2">
      <c r="A32" t="s">
        <v>26</v>
      </c>
      <c r="B32" t="s">
        <v>17</v>
      </c>
      <c r="C32">
        <v>0</v>
      </c>
      <c r="D32">
        <v>0</v>
      </c>
      <c r="E32">
        <v>5</v>
      </c>
      <c r="F32">
        <v>50</v>
      </c>
      <c r="G32" t="s">
        <v>18</v>
      </c>
      <c r="H32" t="s">
        <v>19</v>
      </c>
      <c r="I32">
        <v>1.562995819798E-2</v>
      </c>
      <c r="J32" s="2">
        <f>RANK(I32,$I$2:$I$245)</f>
        <v>31</v>
      </c>
      <c r="K32">
        <v>0.96199999999999997</v>
      </c>
      <c r="L32">
        <v>4.76</v>
      </c>
      <c r="M32" s="2">
        <f>I32/(L32+0.0001)</f>
        <v>3.2835356815991263E-3</v>
      </c>
      <c r="N32" s="2">
        <f>RANK(M32,$M$2:$M$245)</f>
        <v>167</v>
      </c>
      <c r="O32">
        <f>I32*EXP(-0.01*L32)</f>
        <v>1.4903401417557631E-2</v>
      </c>
      <c r="P32" s="2">
        <f>RANK(O32,$O$2:$O$245)</f>
        <v>16</v>
      </c>
    </row>
    <row r="33" spans="1:16" x14ac:dyDescent="0.2">
      <c r="A33" t="s">
        <v>26</v>
      </c>
      <c r="B33" t="s">
        <v>17</v>
      </c>
      <c r="C33">
        <v>0</v>
      </c>
      <c r="D33">
        <v>0</v>
      </c>
      <c r="E33">
        <v>0</v>
      </c>
      <c r="F33">
        <v>0</v>
      </c>
      <c r="G33" t="s">
        <v>18</v>
      </c>
      <c r="H33" t="s">
        <v>19</v>
      </c>
      <c r="I33">
        <v>1.55914669464266E-2</v>
      </c>
      <c r="J33" s="2">
        <f>RANK(I33,$I$2:$I$245)</f>
        <v>32</v>
      </c>
      <c r="K33">
        <v>0.998</v>
      </c>
      <c r="L33">
        <v>0</v>
      </c>
      <c r="M33" s="2">
        <f>I33/(L33+0.0001)</f>
        <v>155.91466946426598</v>
      </c>
      <c r="N33" s="2">
        <f>RANK(M33,$M$2:$M$245)</f>
        <v>2</v>
      </c>
      <c r="O33">
        <f>I33*EXP(-0.01*L33)</f>
        <v>1.55914669464266E-2</v>
      </c>
      <c r="P33" s="2">
        <f>RANK(O33,$O$2:$O$245)</f>
        <v>11</v>
      </c>
    </row>
    <row r="34" spans="1:16" x14ac:dyDescent="0.2">
      <c r="A34" t="s">
        <v>26</v>
      </c>
      <c r="B34" t="s">
        <v>17</v>
      </c>
      <c r="C34">
        <v>0</v>
      </c>
      <c r="D34">
        <v>0</v>
      </c>
      <c r="E34">
        <v>5</v>
      </c>
      <c r="F34">
        <v>25</v>
      </c>
      <c r="G34" t="s">
        <v>18</v>
      </c>
      <c r="H34" t="s">
        <v>19</v>
      </c>
      <c r="I34">
        <v>1.54912244380443E-2</v>
      </c>
      <c r="J34" s="2">
        <f>RANK(I34,$I$2:$I$245)</f>
        <v>33</v>
      </c>
      <c r="K34">
        <v>0.996</v>
      </c>
      <c r="L34">
        <v>3.06</v>
      </c>
      <c r="M34" s="2">
        <f>I34/(L34+0.0001)</f>
        <v>5.0623262109226169E-3</v>
      </c>
      <c r="N34" s="2">
        <f>RANK(M34,$M$2:$M$245)</f>
        <v>91</v>
      </c>
      <c r="O34" s="2">
        <f>I34*EXP(-0.01*L34)</f>
        <v>1.5024372236827531E-2</v>
      </c>
      <c r="P34" s="2">
        <f>RANK(O34,$O$2:$O$245)</f>
        <v>15</v>
      </c>
    </row>
    <row r="35" spans="1:16" x14ac:dyDescent="0.2">
      <c r="A35" t="s">
        <v>26</v>
      </c>
      <c r="B35" t="s">
        <v>17</v>
      </c>
      <c r="C35">
        <v>0</v>
      </c>
      <c r="D35">
        <v>0</v>
      </c>
      <c r="E35">
        <v>2</v>
      </c>
      <c r="F35">
        <v>25</v>
      </c>
      <c r="G35" t="s">
        <v>18</v>
      </c>
      <c r="H35" t="s">
        <v>19</v>
      </c>
      <c r="I35">
        <v>1.5291424702791601E-2</v>
      </c>
      <c r="J35" s="2">
        <f>RANK(I35,$I$2:$I$245)</f>
        <v>34</v>
      </c>
      <c r="K35">
        <v>0.6</v>
      </c>
      <c r="L35">
        <v>8.42</v>
      </c>
      <c r="M35" s="2">
        <f>I35/(L35+0.0001)</f>
        <v>1.8160621254844482E-3</v>
      </c>
      <c r="N35" s="2">
        <f>RANK(M35,$M$2:$M$245)</f>
        <v>200</v>
      </c>
      <c r="O35" s="2">
        <f>I35*EXP(-0.01*L35)</f>
        <v>1.4056602220376836E-2</v>
      </c>
      <c r="P35" s="2">
        <f>RANK(O35,$O$2:$O$245)</f>
        <v>20</v>
      </c>
    </row>
    <row r="36" spans="1:16" x14ac:dyDescent="0.2">
      <c r="A36" t="s">
        <v>26</v>
      </c>
      <c r="B36" t="s">
        <v>17</v>
      </c>
      <c r="C36">
        <v>0</v>
      </c>
      <c r="D36">
        <v>0</v>
      </c>
      <c r="E36">
        <v>1</v>
      </c>
      <c r="F36">
        <v>75</v>
      </c>
      <c r="G36" t="s">
        <v>23</v>
      </c>
      <c r="H36" t="s">
        <v>22</v>
      </c>
      <c r="I36">
        <v>1.52765047357165E-2</v>
      </c>
      <c r="J36" s="2">
        <f>RANK(I36,$I$2:$I$245)</f>
        <v>35</v>
      </c>
      <c r="K36">
        <v>0</v>
      </c>
      <c r="L36">
        <v>27.26</v>
      </c>
      <c r="M36" s="2">
        <f>I36/(L36+0.0001)</f>
        <v>5.6039797123695438E-4</v>
      </c>
      <c r="N36" s="2">
        <f>RANK(M36,$M$2:$M$245)</f>
        <v>223</v>
      </c>
      <c r="O36" s="2">
        <v>1.0003160598455001E-3</v>
      </c>
      <c r="P36" s="2">
        <f>RANK(O36,$O$2:$O$245)</f>
        <v>236</v>
      </c>
    </row>
    <row r="37" spans="1:16" x14ac:dyDescent="0.2">
      <c r="A37" t="s">
        <v>26</v>
      </c>
      <c r="B37" t="s">
        <v>17</v>
      </c>
      <c r="C37">
        <v>0</v>
      </c>
      <c r="D37">
        <v>0</v>
      </c>
      <c r="E37">
        <v>1</v>
      </c>
      <c r="F37">
        <v>25</v>
      </c>
      <c r="G37" t="s">
        <v>18</v>
      </c>
      <c r="H37" t="s">
        <v>19</v>
      </c>
      <c r="I37">
        <v>1.51299380984135E-2</v>
      </c>
      <c r="J37" s="2">
        <f>RANK(I37,$I$2:$I$245)</f>
        <v>36</v>
      </c>
      <c r="K37">
        <v>0</v>
      </c>
      <c r="L37">
        <v>15.62</v>
      </c>
      <c r="M37" s="2">
        <f>I37/(L37+0.0001)</f>
        <v>9.6861979746694967E-4</v>
      </c>
      <c r="N37" s="2">
        <f>RANK(M37,$M$2:$M$245)</f>
        <v>209</v>
      </c>
      <c r="O37" s="2">
        <f>I37*EXP(-0.01*L37)</f>
        <v>1.2941968937198206E-2</v>
      </c>
      <c r="P37" s="2">
        <f>RANK(O37,$O$2:$O$245)</f>
        <v>25</v>
      </c>
    </row>
    <row r="38" spans="1:16" x14ac:dyDescent="0.2">
      <c r="A38" t="s">
        <v>26</v>
      </c>
      <c r="B38" t="s">
        <v>25</v>
      </c>
      <c r="C38">
        <v>2</v>
      </c>
      <c r="D38">
        <v>12</v>
      </c>
      <c r="E38">
        <v>2</v>
      </c>
      <c r="F38">
        <v>12</v>
      </c>
      <c r="G38" t="s">
        <v>23</v>
      </c>
      <c r="H38" t="s">
        <v>19</v>
      </c>
      <c r="I38">
        <v>1.49033804337519E-2</v>
      </c>
      <c r="J38" s="2">
        <f>RANK(I38,$I$2:$I$245)</f>
        <v>37</v>
      </c>
      <c r="K38">
        <v>0.998</v>
      </c>
      <c r="L38">
        <v>5.56</v>
      </c>
      <c r="M38" s="2">
        <f>I38/(L38+0.0001)</f>
        <v>2.6804158978708838E-3</v>
      </c>
      <c r="N38" s="2">
        <f>RANK(M38,$M$2:$M$245)</f>
        <v>189</v>
      </c>
      <c r="O38" s="2">
        <v>8.5470659641526704E-3</v>
      </c>
      <c r="P38" s="2">
        <f>RANK(O38,$O$2:$O$245)</f>
        <v>172</v>
      </c>
    </row>
    <row r="39" spans="1:16" x14ac:dyDescent="0.2">
      <c r="A39" t="s">
        <v>26</v>
      </c>
      <c r="B39" t="s">
        <v>17</v>
      </c>
      <c r="C39">
        <v>0</v>
      </c>
      <c r="D39">
        <v>0</v>
      </c>
      <c r="E39">
        <v>1</v>
      </c>
      <c r="F39">
        <v>100</v>
      </c>
      <c r="G39" t="s">
        <v>23</v>
      </c>
      <c r="H39" t="s">
        <v>19</v>
      </c>
      <c r="I39">
        <v>1.44729612522303E-2</v>
      </c>
      <c r="J39" s="2">
        <f>RANK(I39,$I$2:$I$245)</f>
        <v>38</v>
      </c>
      <c r="K39">
        <v>0</v>
      </c>
      <c r="L39">
        <v>23.4</v>
      </c>
      <c r="M39" s="2">
        <f>I39/(L39+0.0001)</f>
        <v>6.1849997445439554E-4</v>
      </c>
      <c r="N39" s="2">
        <f>RANK(M39,$M$2:$M$245)</f>
        <v>221</v>
      </c>
      <c r="O39" s="2">
        <v>1.3941461756287799E-3</v>
      </c>
      <c r="P39" s="2">
        <f>RANK(O39,$O$2:$O$245)</f>
        <v>233</v>
      </c>
    </row>
    <row r="40" spans="1:16" x14ac:dyDescent="0.2">
      <c r="A40" t="s">
        <v>26</v>
      </c>
      <c r="B40" t="s">
        <v>25</v>
      </c>
      <c r="C40">
        <v>5</v>
      </c>
      <c r="D40">
        <v>12</v>
      </c>
      <c r="E40">
        <v>5</v>
      </c>
      <c r="F40">
        <v>12</v>
      </c>
      <c r="G40" t="s">
        <v>18</v>
      </c>
      <c r="H40" t="s">
        <v>22</v>
      </c>
      <c r="I40">
        <v>1.4310246136233501E-2</v>
      </c>
      <c r="J40" s="2">
        <f>RANK(I40,$I$2:$I$245)</f>
        <v>39</v>
      </c>
      <c r="K40">
        <v>1</v>
      </c>
      <c r="L40">
        <v>2.6</v>
      </c>
      <c r="M40" s="2">
        <f>I40/(L40+0.0001)</f>
        <v>5.5037291397382788E-3</v>
      </c>
      <c r="N40" s="2">
        <f>RANK(M40,$M$2:$M$245)</f>
        <v>70</v>
      </c>
      <c r="O40" s="2">
        <f>I40*EXP(-0.01*L40)</f>
        <v>1.3942974951470326E-2</v>
      </c>
      <c r="P40" s="2">
        <f>RANK(O40,$O$2:$O$245)</f>
        <v>22</v>
      </c>
    </row>
    <row r="41" spans="1:16" x14ac:dyDescent="0.2">
      <c r="A41" t="s">
        <v>26</v>
      </c>
      <c r="B41" t="s">
        <v>17</v>
      </c>
      <c r="C41">
        <v>0</v>
      </c>
      <c r="D41">
        <v>0</v>
      </c>
      <c r="E41">
        <v>1</v>
      </c>
      <c r="F41">
        <v>50</v>
      </c>
      <c r="G41" t="s">
        <v>23</v>
      </c>
      <c r="H41" t="s">
        <v>19</v>
      </c>
      <c r="I41">
        <v>1.4175321821576299E-2</v>
      </c>
      <c r="J41" s="2">
        <f>RANK(I41,$I$2:$I$245)</f>
        <v>40</v>
      </c>
      <c r="K41">
        <v>0</v>
      </c>
      <c r="L41">
        <v>22.82</v>
      </c>
      <c r="M41" s="2">
        <f>I41/(L41+0.0001)</f>
        <v>6.2117702470963309E-4</v>
      </c>
      <c r="N41" s="2">
        <f>RANK(M41,$M$2:$M$245)</f>
        <v>220</v>
      </c>
      <c r="O41" s="2">
        <v>1.44701462225331E-3</v>
      </c>
      <c r="P41" s="2">
        <f>RANK(O41,$O$2:$O$245)</f>
        <v>231</v>
      </c>
    </row>
    <row r="42" spans="1:16" x14ac:dyDescent="0.2">
      <c r="A42" t="s">
        <v>26</v>
      </c>
      <c r="B42" t="s">
        <v>17</v>
      </c>
      <c r="C42">
        <v>0</v>
      </c>
      <c r="D42">
        <v>0</v>
      </c>
      <c r="E42">
        <v>1</v>
      </c>
      <c r="F42">
        <v>75</v>
      </c>
      <c r="G42" t="s">
        <v>23</v>
      </c>
      <c r="H42" t="s">
        <v>19</v>
      </c>
      <c r="I42">
        <v>1.3879057570807899E-2</v>
      </c>
      <c r="J42" s="2">
        <f>RANK(I42,$I$2:$I$245)</f>
        <v>41</v>
      </c>
      <c r="K42">
        <v>0</v>
      </c>
      <c r="L42">
        <v>19.96</v>
      </c>
      <c r="M42" s="2">
        <f>I42/(L42+0.0001)</f>
        <v>6.9534008200399292E-4</v>
      </c>
      <c r="N42" s="2">
        <f>RANK(M42,$M$2:$M$245)</f>
        <v>217</v>
      </c>
      <c r="O42" s="2">
        <v>1.8858545388171801E-3</v>
      </c>
      <c r="P42" s="2">
        <f>RANK(O42,$O$2:$O$245)</f>
        <v>226</v>
      </c>
    </row>
    <row r="43" spans="1:16" x14ac:dyDescent="0.2">
      <c r="A43" t="s">
        <v>26</v>
      </c>
      <c r="B43" t="s">
        <v>24</v>
      </c>
      <c r="C43">
        <v>5</v>
      </c>
      <c r="D43">
        <v>25</v>
      </c>
      <c r="E43">
        <v>5</v>
      </c>
      <c r="F43">
        <v>25</v>
      </c>
      <c r="G43" t="s">
        <v>23</v>
      </c>
      <c r="H43" t="s">
        <v>19</v>
      </c>
      <c r="I43">
        <v>1.3762168658809601E-2</v>
      </c>
      <c r="J43" s="2">
        <f>RANK(I43,$I$2:$I$245)</f>
        <v>42</v>
      </c>
      <c r="K43">
        <v>1</v>
      </c>
      <c r="L43">
        <v>4.2</v>
      </c>
      <c r="M43" s="2">
        <f>I43/(L43+0.0001)</f>
        <v>3.2766288085544631E-3</v>
      </c>
      <c r="N43" s="2">
        <f>RANK(M43,$M$2:$M$245)</f>
        <v>169</v>
      </c>
      <c r="O43">
        <v>9.0423891510292894E-3</v>
      </c>
      <c r="P43" s="2">
        <f>RANK(O43,$O$2:$O$245)</f>
        <v>145</v>
      </c>
    </row>
    <row r="44" spans="1:16" x14ac:dyDescent="0.2">
      <c r="A44" t="s">
        <v>26</v>
      </c>
      <c r="B44" t="s">
        <v>24</v>
      </c>
      <c r="C44">
        <v>2</v>
      </c>
      <c r="D44">
        <v>12</v>
      </c>
      <c r="E44">
        <v>2</v>
      </c>
      <c r="F44">
        <v>12</v>
      </c>
      <c r="G44" t="s">
        <v>23</v>
      </c>
      <c r="H44" t="s">
        <v>19</v>
      </c>
      <c r="I44">
        <v>1.35840802459508E-2</v>
      </c>
      <c r="J44" s="2">
        <f>RANK(I44,$I$2:$I$245)</f>
        <v>43</v>
      </c>
      <c r="K44">
        <v>1</v>
      </c>
      <c r="L44">
        <v>3.94</v>
      </c>
      <c r="M44" s="2">
        <f>I44/(L44+0.0001)</f>
        <v>3.4476485992616431E-3</v>
      </c>
      <c r="N44" s="2">
        <f>RANK(M44,$M$2:$M$245)</f>
        <v>156</v>
      </c>
      <c r="O44">
        <v>9.1604796141526099E-3</v>
      </c>
      <c r="P44" s="2">
        <f>RANK(O44,$O$2:$O$245)</f>
        <v>140</v>
      </c>
    </row>
    <row r="45" spans="1:16" x14ac:dyDescent="0.2">
      <c r="A45" t="s">
        <v>26</v>
      </c>
      <c r="B45" t="s">
        <v>24</v>
      </c>
      <c r="C45">
        <v>5</v>
      </c>
      <c r="D45">
        <v>12</v>
      </c>
      <c r="E45">
        <v>5</v>
      </c>
      <c r="F45">
        <v>12</v>
      </c>
      <c r="G45" t="s">
        <v>18</v>
      </c>
      <c r="H45" t="s">
        <v>22</v>
      </c>
      <c r="I45">
        <v>1.3542795232936101E-2</v>
      </c>
      <c r="J45" s="2">
        <f>RANK(I45,$I$2:$I$245)</f>
        <v>44</v>
      </c>
      <c r="K45">
        <v>1</v>
      </c>
      <c r="L45">
        <v>2.36</v>
      </c>
      <c r="M45" s="2">
        <f>I45/(L45+0.0001)</f>
        <v>5.7382294110148299E-3</v>
      </c>
      <c r="N45" s="2">
        <f>RANK(M45,$M$2:$M$245)</f>
        <v>63</v>
      </c>
      <c r="O45" s="2">
        <f>I45*EXP(-0.01*L45)</f>
        <v>1.3226927168947531E-2</v>
      </c>
      <c r="P45" s="2">
        <f>RANK(O45,$O$2:$O$245)</f>
        <v>24</v>
      </c>
    </row>
    <row r="46" spans="1:16" x14ac:dyDescent="0.2">
      <c r="A46" t="s">
        <v>26</v>
      </c>
      <c r="B46" t="s">
        <v>25</v>
      </c>
      <c r="C46">
        <v>5</v>
      </c>
      <c r="D46">
        <v>37</v>
      </c>
      <c r="E46">
        <v>5</v>
      </c>
      <c r="F46">
        <v>37</v>
      </c>
      <c r="G46" t="s">
        <v>23</v>
      </c>
      <c r="H46" t="s">
        <v>22</v>
      </c>
      <c r="I46">
        <v>1.30446125750065E-2</v>
      </c>
      <c r="J46" s="2">
        <f>RANK(I46,$I$2:$I$245)</f>
        <v>45</v>
      </c>
      <c r="K46">
        <v>1</v>
      </c>
      <c r="L46">
        <v>5.6</v>
      </c>
      <c r="M46" s="2">
        <f>I46/(L46+0.0001)</f>
        <v>2.3293535070813918E-3</v>
      </c>
      <c r="N46" s="2">
        <f>RANK(M46,$M$2:$M$245)</f>
        <v>195</v>
      </c>
      <c r="O46" s="2">
        <v>7.45120093723994E-3</v>
      </c>
      <c r="P46" s="2">
        <f>RANK(O46,$O$2:$O$245)</f>
        <v>206</v>
      </c>
    </row>
    <row r="47" spans="1:16" x14ac:dyDescent="0.2">
      <c r="A47" t="s">
        <v>26</v>
      </c>
      <c r="B47" t="s">
        <v>25</v>
      </c>
      <c r="C47">
        <v>2</v>
      </c>
      <c r="D47">
        <v>25</v>
      </c>
      <c r="E47">
        <v>0</v>
      </c>
      <c r="F47">
        <v>0</v>
      </c>
      <c r="G47" t="s">
        <v>23</v>
      </c>
      <c r="H47" t="s">
        <v>22</v>
      </c>
      <c r="I47">
        <v>1.27844541038098E-2</v>
      </c>
      <c r="J47" s="2">
        <f>RANK(I47,$I$2:$I$245)</f>
        <v>46</v>
      </c>
      <c r="K47">
        <v>1</v>
      </c>
      <c r="L47">
        <v>3.58</v>
      </c>
      <c r="M47" s="2">
        <f>I47/(L47+0.0001)</f>
        <v>3.5709768173542078E-3</v>
      </c>
      <c r="N47" s="2">
        <f>RANK(M47,$M$2:$M$245)</f>
        <v>148</v>
      </c>
      <c r="O47">
        <v>8.9372676426301093E-3</v>
      </c>
      <c r="P47" s="2">
        <f>RANK(O47,$O$2:$O$245)</f>
        <v>155</v>
      </c>
    </row>
    <row r="48" spans="1:16" x14ac:dyDescent="0.2">
      <c r="A48" t="s">
        <v>26</v>
      </c>
      <c r="B48" t="s">
        <v>24</v>
      </c>
      <c r="C48">
        <v>5</v>
      </c>
      <c r="D48">
        <v>37</v>
      </c>
      <c r="E48">
        <v>5</v>
      </c>
      <c r="F48">
        <v>37</v>
      </c>
      <c r="G48" t="s">
        <v>23</v>
      </c>
      <c r="H48" t="s">
        <v>22</v>
      </c>
      <c r="I48">
        <v>1.2709710218607E-2</v>
      </c>
      <c r="J48" s="2">
        <f>RANK(I48,$I$2:$I$245)</f>
        <v>47</v>
      </c>
      <c r="K48">
        <v>1</v>
      </c>
      <c r="L48">
        <v>4.8600000000000003</v>
      </c>
      <c r="M48" s="2">
        <f>I48/(L48+0.0001)</f>
        <v>2.6151129027400669E-3</v>
      </c>
      <c r="N48" s="2">
        <f>RANK(M48,$M$2:$M$245)</f>
        <v>192</v>
      </c>
      <c r="O48">
        <v>7.8175115316920195E-3</v>
      </c>
      <c r="P48" s="2">
        <f>RANK(O48,$O$2:$O$245)</f>
        <v>197</v>
      </c>
    </row>
    <row r="49" spans="1:16" x14ac:dyDescent="0.2">
      <c r="A49" t="s">
        <v>26</v>
      </c>
      <c r="B49" t="s">
        <v>25</v>
      </c>
      <c r="C49">
        <v>5</v>
      </c>
      <c r="D49">
        <v>50</v>
      </c>
      <c r="E49">
        <v>0</v>
      </c>
      <c r="F49">
        <v>0</v>
      </c>
      <c r="G49" t="s">
        <v>23</v>
      </c>
      <c r="H49" t="s">
        <v>22</v>
      </c>
      <c r="I49">
        <v>1.2671059300557499E-2</v>
      </c>
      <c r="J49" s="2">
        <f>RANK(I49,$I$2:$I$245)</f>
        <v>48</v>
      </c>
      <c r="K49">
        <v>1</v>
      </c>
      <c r="L49">
        <v>3.4</v>
      </c>
      <c r="M49" s="2">
        <f>I49/(L49+0.0001)</f>
        <v>3.7266725392069346E-3</v>
      </c>
      <c r="N49" s="2">
        <f>RANK(M49,$M$2:$M$245)</f>
        <v>135</v>
      </c>
      <c r="O49" s="2">
        <v>9.0188839681019806E-3</v>
      </c>
      <c r="P49" s="2">
        <f>RANK(O49,$O$2:$O$245)</f>
        <v>149</v>
      </c>
    </row>
    <row r="50" spans="1:16" x14ac:dyDescent="0.2">
      <c r="A50" t="s">
        <v>26</v>
      </c>
      <c r="B50" t="s">
        <v>25</v>
      </c>
      <c r="C50">
        <v>5</v>
      </c>
      <c r="D50">
        <v>12</v>
      </c>
      <c r="E50">
        <v>5</v>
      </c>
      <c r="F50">
        <v>12</v>
      </c>
      <c r="G50" t="s">
        <v>18</v>
      </c>
      <c r="H50" t="s">
        <v>19</v>
      </c>
      <c r="I50">
        <v>1.2523867631304499E-2</v>
      </c>
      <c r="J50" s="2">
        <f>RANK(I50,$I$2:$I$245)</f>
        <v>49</v>
      </c>
      <c r="K50">
        <v>1</v>
      </c>
      <c r="L50">
        <v>1.9</v>
      </c>
      <c r="M50" s="2">
        <f>I50/(L50+0.0001)</f>
        <v>6.5911623763509819E-3</v>
      </c>
      <c r="N50" s="2">
        <f>RANK(M50,$M$2:$M$245)</f>
        <v>36</v>
      </c>
      <c r="O50" s="2">
        <f>I50*EXP(-0.01*L50)</f>
        <v>1.228816045529667E-2</v>
      </c>
      <c r="P50" s="2">
        <f>RANK(O50,$O$2:$O$245)</f>
        <v>29</v>
      </c>
    </row>
    <row r="51" spans="1:16" x14ac:dyDescent="0.2">
      <c r="A51" t="s">
        <v>26</v>
      </c>
      <c r="B51" t="s">
        <v>24</v>
      </c>
      <c r="C51">
        <v>5</v>
      </c>
      <c r="D51">
        <v>50</v>
      </c>
      <c r="E51">
        <v>0</v>
      </c>
      <c r="F51">
        <v>0</v>
      </c>
      <c r="G51" t="s">
        <v>23</v>
      </c>
      <c r="H51" t="s">
        <v>22</v>
      </c>
      <c r="I51">
        <v>1.2459506603538501E-2</v>
      </c>
      <c r="J51" s="2">
        <f>RANK(I51,$I$2:$I$245)</f>
        <v>50</v>
      </c>
      <c r="K51">
        <v>1</v>
      </c>
      <c r="L51">
        <v>2.7</v>
      </c>
      <c r="M51" s="2">
        <f>I51/(L51+0.0001)</f>
        <v>4.6144611694153917E-3</v>
      </c>
      <c r="N51" s="2">
        <f>RANK(M51,$M$2:$M$245)</f>
        <v>102</v>
      </c>
      <c r="O51" s="2">
        <v>9.5113318506959005E-3</v>
      </c>
      <c r="P51" s="2">
        <f>RANK(O51,$O$2:$O$245)</f>
        <v>127</v>
      </c>
    </row>
    <row r="52" spans="1:16" x14ac:dyDescent="0.2">
      <c r="A52" t="s">
        <v>26</v>
      </c>
      <c r="B52" t="s">
        <v>24</v>
      </c>
      <c r="C52">
        <v>5</v>
      </c>
      <c r="D52">
        <v>12</v>
      </c>
      <c r="E52">
        <v>5</v>
      </c>
      <c r="F52">
        <v>12</v>
      </c>
      <c r="G52" t="s">
        <v>18</v>
      </c>
      <c r="H52" t="s">
        <v>19</v>
      </c>
      <c r="I52">
        <v>1.23555206816276E-2</v>
      </c>
      <c r="J52" s="2">
        <f>RANK(I52,$I$2:$I$245)</f>
        <v>51</v>
      </c>
      <c r="K52">
        <v>1</v>
      </c>
      <c r="L52">
        <v>1.86</v>
      </c>
      <c r="M52" s="2">
        <f>I52/(L52+0.0001)</f>
        <v>6.6423959365773883E-3</v>
      </c>
      <c r="N52" s="2">
        <f>RANK(M52,$M$2:$M$245)</f>
        <v>33</v>
      </c>
      <c r="O52" s="2">
        <f>I52*EXP(-0.01*L52)</f>
        <v>1.2127832065306076E-2</v>
      </c>
      <c r="P52" s="2">
        <f>RANK(O52,$O$2:$O$245)</f>
        <v>31</v>
      </c>
    </row>
    <row r="53" spans="1:16" x14ac:dyDescent="0.2">
      <c r="A53" t="s">
        <v>26</v>
      </c>
      <c r="B53" t="s">
        <v>25</v>
      </c>
      <c r="C53">
        <v>1</v>
      </c>
      <c r="D53">
        <v>12</v>
      </c>
      <c r="E53">
        <v>1</v>
      </c>
      <c r="F53">
        <v>12</v>
      </c>
      <c r="G53" t="s">
        <v>23</v>
      </c>
      <c r="H53" t="s">
        <v>22</v>
      </c>
      <c r="I53">
        <v>1.23334977799704E-2</v>
      </c>
      <c r="J53" s="2">
        <f>RANK(I53,$I$2:$I$245)</f>
        <v>52</v>
      </c>
      <c r="K53">
        <v>1</v>
      </c>
      <c r="L53">
        <v>5.44</v>
      </c>
      <c r="M53" s="2">
        <f>I53/(L53+0.0001)</f>
        <v>2.2671454164391092E-3</v>
      </c>
      <c r="N53" s="2">
        <f>RANK(M53,$M$2:$M$245)</f>
        <v>197</v>
      </c>
      <c r="O53">
        <v>7.15863240183451E-3</v>
      </c>
      <c r="P53" s="2">
        <f>RANK(O53,$O$2:$O$245)</f>
        <v>208</v>
      </c>
    </row>
    <row r="54" spans="1:16" x14ac:dyDescent="0.2">
      <c r="A54" t="s">
        <v>26</v>
      </c>
      <c r="B54" t="s">
        <v>25</v>
      </c>
      <c r="C54">
        <v>5</v>
      </c>
      <c r="D54">
        <v>25</v>
      </c>
      <c r="E54">
        <v>0</v>
      </c>
      <c r="F54">
        <v>0</v>
      </c>
      <c r="G54" t="s">
        <v>18</v>
      </c>
      <c r="H54" t="s">
        <v>22</v>
      </c>
      <c r="I54">
        <v>1.22880314573605E-2</v>
      </c>
      <c r="J54" s="2">
        <f>RANK(I54,$I$2:$I$245)</f>
        <v>53</v>
      </c>
      <c r="K54">
        <v>1</v>
      </c>
      <c r="L54">
        <v>1.62</v>
      </c>
      <c r="M54" s="2">
        <f>I54/(L54+0.0001)</f>
        <v>7.5847364097034126E-3</v>
      </c>
      <c r="N54" s="2">
        <f>RANK(M54,$M$2:$M$245)</f>
        <v>13</v>
      </c>
      <c r="O54">
        <f>I54*EXP(-0.01*L54)</f>
        <v>1.2090569111237476E-2</v>
      </c>
      <c r="P54" s="2">
        <f>RANK(O54,$O$2:$O$245)</f>
        <v>32</v>
      </c>
    </row>
    <row r="55" spans="1:16" x14ac:dyDescent="0.2">
      <c r="A55" t="s">
        <v>26</v>
      </c>
      <c r="B55" t="s">
        <v>24</v>
      </c>
      <c r="C55">
        <v>2</v>
      </c>
      <c r="D55">
        <v>25</v>
      </c>
      <c r="E55">
        <v>0</v>
      </c>
      <c r="F55">
        <v>0</v>
      </c>
      <c r="G55" t="s">
        <v>23</v>
      </c>
      <c r="H55" t="s">
        <v>22</v>
      </c>
      <c r="I55">
        <v>1.2159533073929999E-2</v>
      </c>
      <c r="J55" s="2">
        <f>RANK(I55,$I$2:$I$245)</f>
        <v>54</v>
      </c>
      <c r="K55">
        <v>1</v>
      </c>
      <c r="L55">
        <v>2.64</v>
      </c>
      <c r="M55" s="2">
        <f>I55/(L55+0.0001)</f>
        <v>4.6057092814400964E-3</v>
      </c>
      <c r="N55" s="2">
        <f>RANK(M55,$M$2:$M$245)</f>
        <v>103</v>
      </c>
      <c r="O55">
        <v>9.3381996553588108E-3</v>
      </c>
      <c r="P55" s="2">
        <f>RANK(O55,$O$2:$O$245)</f>
        <v>132</v>
      </c>
    </row>
    <row r="56" spans="1:16" x14ac:dyDescent="0.2">
      <c r="A56" t="s">
        <v>26</v>
      </c>
      <c r="B56" t="s">
        <v>25</v>
      </c>
      <c r="C56">
        <v>2</v>
      </c>
      <c r="D56">
        <v>12</v>
      </c>
      <c r="E56">
        <v>2</v>
      </c>
      <c r="F56">
        <v>12</v>
      </c>
      <c r="G56" t="s">
        <v>18</v>
      </c>
      <c r="H56" t="s">
        <v>22</v>
      </c>
      <c r="I56">
        <v>1.21418164157358E-2</v>
      </c>
      <c r="J56" s="2">
        <f>RANK(I56,$I$2:$I$245)</f>
        <v>55</v>
      </c>
      <c r="K56">
        <v>1</v>
      </c>
      <c r="L56">
        <v>3.08</v>
      </c>
      <c r="M56" s="2">
        <f>I56/(L56+0.0001)</f>
        <v>3.9420201992584007E-3</v>
      </c>
      <c r="N56" s="2">
        <f>RANK(M56,$M$2:$M$245)</f>
        <v>117</v>
      </c>
      <c r="O56" s="2">
        <f>I56*EXP(-0.01*L56)</f>
        <v>1.1773548902154514E-2</v>
      </c>
      <c r="P56" s="2">
        <f>RANK(O56,$O$2:$O$245)</f>
        <v>35</v>
      </c>
    </row>
    <row r="57" spans="1:16" x14ac:dyDescent="0.2">
      <c r="A57" t="s">
        <v>26</v>
      </c>
      <c r="B57" t="s">
        <v>25</v>
      </c>
      <c r="C57">
        <v>5</v>
      </c>
      <c r="D57">
        <v>25</v>
      </c>
      <c r="E57">
        <v>5</v>
      </c>
      <c r="F57">
        <v>25</v>
      </c>
      <c r="G57" t="s">
        <v>18</v>
      </c>
      <c r="H57" t="s">
        <v>22</v>
      </c>
      <c r="I57">
        <v>1.20510966497951E-2</v>
      </c>
      <c r="J57" s="2">
        <f>RANK(I57,$I$2:$I$245)</f>
        <v>56</v>
      </c>
      <c r="K57">
        <v>1</v>
      </c>
      <c r="L57">
        <v>2.98</v>
      </c>
      <c r="M57" s="2">
        <f>I57/(L57+0.0001)</f>
        <v>4.0438564644794135E-3</v>
      </c>
      <c r="N57" s="2">
        <f>RANK(M57,$M$2:$M$245)</f>
        <v>114</v>
      </c>
      <c r="O57" s="2">
        <f>I57*EXP(-0.01*L57)</f>
        <v>1.1697272138652929E-2</v>
      </c>
      <c r="P57" s="2">
        <f>RANK(O57,$O$2:$O$245)</f>
        <v>36</v>
      </c>
    </row>
    <row r="58" spans="1:16" x14ac:dyDescent="0.2">
      <c r="A58" t="s">
        <v>26</v>
      </c>
      <c r="B58" t="s">
        <v>24</v>
      </c>
      <c r="C58">
        <v>1</v>
      </c>
      <c r="D58">
        <v>12</v>
      </c>
      <c r="E58">
        <v>1</v>
      </c>
      <c r="F58">
        <v>12</v>
      </c>
      <c r="G58" t="s">
        <v>23</v>
      </c>
      <c r="H58" t="s">
        <v>22</v>
      </c>
      <c r="I58">
        <v>1.2045290291495999E-2</v>
      </c>
      <c r="J58" s="2">
        <f>RANK(I58,$I$2:$I$245)</f>
        <v>57</v>
      </c>
      <c r="K58">
        <v>1</v>
      </c>
      <c r="L58">
        <v>4.5199999999999996</v>
      </c>
      <c r="M58" s="2">
        <f>I58/(L58+0.0001)</f>
        <v>2.6648282762540654E-3</v>
      </c>
      <c r="N58" s="2">
        <f>RANK(M58,$M$2:$M$245)</f>
        <v>191</v>
      </c>
      <c r="O58">
        <v>7.6650707025425896E-3</v>
      </c>
      <c r="P58" s="2">
        <f>RANK(O58,$O$2:$O$245)</f>
        <v>202</v>
      </c>
    </row>
    <row r="59" spans="1:16" x14ac:dyDescent="0.2">
      <c r="A59" t="s">
        <v>26</v>
      </c>
      <c r="B59" t="s">
        <v>24</v>
      </c>
      <c r="C59">
        <v>5</v>
      </c>
      <c r="D59">
        <v>25</v>
      </c>
      <c r="E59">
        <v>0</v>
      </c>
      <c r="F59">
        <v>0</v>
      </c>
      <c r="G59" t="s">
        <v>18</v>
      </c>
      <c r="H59" t="s">
        <v>22</v>
      </c>
      <c r="I59">
        <v>1.19731800766284E-2</v>
      </c>
      <c r="J59" s="2">
        <f>RANK(I59,$I$2:$I$245)</f>
        <v>58</v>
      </c>
      <c r="K59">
        <v>1</v>
      </c>
      <c r="L59">
        <v>1.36</v>
      </c>
      <c r="M59" s="2">
        <f>I59/(L59+0.0001)</f>
        <v>8.803161588580544E-3</v>
      </c>
      <c r="N59" s="2">
        <f>RANK(M59,$M$2:$M$245)</f>
        <v>7</v>
      </c>
      <c r="O59" s="2">
        <f>I59*EXP(-0.01*L59)</f>
        <v>1.1811447104632351E-2</v>
      </c>
      <c r="P59" s="2">
        <f>RANK(O59,$O$2:$O$245)</f>
        <v>34</v>
      </c>
    </row>
    <row r="60" spans="1:16" x14ac:dyDescent="0.2">
      <c r="A60" t="s">
        <v>26</v>
      </c>
      <c r="B60" t="s">
        <v>24</v>
      </c>
      <c r="C60">
        <v>2</v>
      </c>
      <c r="D60">
        <v>12</v>
      </c>
      <c r="E60">
        <v>2</v>
      </c>
      <c r="F60">
        <v>12</v>
      </c>
      <c r="G60" t="s">
        <v>18</v>
      </c>
      <c r="H60" t="s">
        <v>22</v>
      </c>
      <c r="I60">
        <v>1.1944577161968501E-2</v>
      </c>
      <c r="J60" s="2">
        <f>RANK(I60,$I$2:$I$245)</f>
        <v>59</v>
      </c>
      <c r="K60">
        <v>1</v>
      </c>
      <c r="L60">
        <v>2.76</v>
      </c>
      <c r="M60" s="2">
        <f>I60/(L60+0.0001)</f>
        <v>4.3275885518526507E-3</v>
      </c>
      <c r="N60" s="2">
        <f>RANK(M60,$M$2:$M$245)</f>
        <v>109</v>
      </c>
      <c r="O60" s="2">
        <f>I60*EXP(-0.01*L60)</f>
        <v>1.161941471511482E-2</v>
      </c>
      <c r="P60" s="2">
        <f>RANK(O60,$O$2:$O$245)</f>
        <v>37</v>
      </c>
    </row>
    <row r="61" spans="1:16" x14ac:dyDescent="0.2">
      <c r="A61" t="s">
        <v>26</v>
      </c>
      <c r="B61" t="s">
        <v>24</v>
      </c>
      <c r="C61">
        <v>5</v>
      </c>
      <c r="D61">
        <v>25</v>
      </c>
      <c r="E61">
        <v>5</v>
      </c>
      <c r="F61">
        <v>25</v>
      </c>
      <c r="G61" t="s">
        <v>18</v>
      </c>
      <c r="H61" t="s">
        <v>22</v>
      </c>
      <c r="I61">
        <v>1.19019281123542E-2</v>
      </c>
      <c r="J61" s="2">
        <f>RANK(I61,$I$2:$I$245)</f>
        <v>60</v>
      </c>
      <c r="K61">
        <v>1</v>
      </c>
      <c r="L61">
        <v>2.68</v>
      </c>
      <c r="M61" s="2">
        <f>I61/(L61+0.0001)</f>
        <v>4.4408522489288449E-3</v>
      </c>
      <c r="N61" s="2">
        <f>RANK(M61,$M$2:$M$245)</f>
        <v>106</v>
      </c>
      <c r="O61" s="2">
        <f>I61*EXP(-0.01*L61)</f>
        <v>1.1587192730792242E-2</v>
      </c>
      <c r="P61" s="2">
        <f>RANK(O61,$O$2:$O$245)</f>
        <v>38</v>
      </c>
    </row>
    <row r="62" spans="1:16" x14ac:dyDescent="0.2">
      <c r="A62" t="s">
        <v>26</v>
      </c>
      <c r="B62" t="s">
        <v>25</v>
      </c>
      <c r="C62">
        <v>5</v>
      </c>
      <c r="D62">
        <v>37</v>
      </c>
      <c r="E62">
        <v>5</v>
      </c>
      <c r="F62">
        <v>37</v>
      </c>
      <c r="G62" t="s">
        <v>23</v>
      </c>
      <c r="H62" t="s">
        <v>19</v>
      </c>
      <c r="I62">
        <v>1.1893823197225499E-2</v>
      </c>
      <c r="J62" s="2">
        <f>RANK(I62,$I$2:$I$245)</f>
        <v>61</v>
      </c>
      <c r="K62">
        <v>1</v>
      </c>
      <c r="L62">
        <v>3.7</v>
      </c>
      <c r="M62" s="2">
        <f>I62/(L62+0.0001)</f>
        <v>3.2144599327654654E-3</v>
      </c>
      <c r="N62" s="2">
        <f>RANK(M62,$M$2:$M$245)</f>
        <v>174</v>
      </c>
      <c r="O62" s="2">
        <v>8.2154720048546008E-3</v>
      </c>
      <c r="P62" s="2">
        <f>RANK(O62,$O$2:$O$245)</f>
        <v>176</v>
      </c>
    </row>
    <row r="63" spans="1:16" x14ac:dyDescent="0.2">
      <c r="A63" t="s">
        <v>26</v>
      </c>
      <c r="B63" t="s">
        <v>25</v>
      </c>
      <c r="C63">
        <v>2</v>
      </c>
      <c r="D63">
        <v>25</v>
      </c>
      <c r="E63">
        <v>2</v>
      </c>
      <c r="F63">
        <v>25</v>
      </c>
      <c r="G63" t="s">
        <v>23</v>
      </c>
      <c r="H63" t="s">
        <v>22</v>
      </c>
      <c r="I63">
        <v>1.1803588290840401E-2</v>
      </c>
      <c r="J63" s="2">
        <f>RANK(I63,$I$2:$I$245)</f>
        <v>62</v>
      </c>
      <c r="K63">
        <v>1</v>
      </c>
      <c r="L63">
        <v>4.66</v>
      </c>
      <c r="M63" s="2">
        <f>I63/(L63+0.0001)</f>
        <v>2.5329045065214054E-3</v>
      </c>
      <c r="N63" s="2">
        <f>RANK(M63,$M$2:$M$245)</f>
        <v>193</v>
      </c>
      <c r="O63" s="2">
        <v>7.4068376303982504E-3</v>
      </c>
      <c r="P63" s="2">
        <f>RANK(O63,$O$2:$O$245)</f>
        <v>207</v>
      </c>
    </row>
    <row r="64" spans="1:16" x14ac:dyDescent="0.2">
      <c r="A64" t="s">
        <v>26</v>
      </c>
      <c r="B64" t="s">
        <v>25</v>
      </c>
      <c r="C64">
        <v>2</v>
      </c>
      <c r="D64">
        <v>25</v>
      </c>
      <c r="E64">
        <v>0</v>
      </c>
      <c r="F64">
        <v>0</v>
      </c>
      <c r="G64" t="s">
        <v>23</v>
      </c>
      <c r="H64" t="s">
        <v>19</v>
      </c>
      <c r="I64">
        <v>1.17984547539018E-2</v>
      </c>
      <c r="J64" s="2">
        <f>RANK(I64,$I$2:$I$245)</f>
        <v>63</v>
      </c>
      <c r="K64">
        <v>1</v>
      </c>
      <c r="L64">
        <v>2.42</v>
      </c>
      <c r="M64" s="2">
        <f>I64/(L64+0.0001)</f>
        <v>4.875193072146523E-3</v>
      </c>
      <c r="N64" s="2">
        <f>RANK(M64,$M$2:$M$245)</f>
        <v>96</v>
      </c>
      <c r="O64">
        <v>9.2624497901163602E-3</v>
      </c>
      <c r="P64" s="2">
        <f>RANK(O64,$O$2:$O$245)</f>
        <v>136</v>
      </c>
    </row>
    <row r="65" spans="1:16" x14ac:dyDescent="0.2">
      <c r="A65" t="s">
        <v>26</v>
      </c>
      <c r="B65" t="s">
        <v>24</v>
      </c>
      <c r="C65">
        <v>5</v>
      </c>
      <c r="D65">
        <v>75</v>
      </c>
      <c r="E65">
        <v>0</v>
      </c>
      <c r="F65">
        <v>0</v>
      </c>
      <c r="G65" t="s">
        <v>23</v>
      </c>
      <c r="H65" t="s">
        <v>22</v>
      </c>
      <c r="I65">
        <v>1.17564072419469E-2</v>
      </c>
      <c r="J65" s="2">
        <f>RANK(I65,$I$2:$I$245)</f>
        <v>64</v>
      </c>
      <c r="K65">
        <v>1</v>
      </c>
      <c r="L65">
        <v>2.2799999999999998</v>
      </c>
      <c r="M65" s="2">
        <f>I65/(L65+0.0001)</f>
        <v>5.1560928213441951E-3</v>
      </c>
      <c r="N65" s="2">
        <f>RANK(M65,$M$2:$M$245)</f>
        <v>83</v>
      </c>
      <c r="O65">
        <v>9.3595610138191392E-3</v>
      </c>
      <c r="P65" s="2">
        <f>RANK(O65,$O$2:$O$245)</f>
        <v>130</v>
      </c>
    </row>
    <row r="66" spans="1:16" x14ac:dyDescent="0.2">
      <c r="A66" t="s">
        <v>26</v>
      </c>
      <c r="B66" t="s">
        <v>24</v>
      </c>
      <c r="C66">
        <v>5</v>
      </c>
      <c r="D66">
        <v>100</v>
      </c>
      <c r="E66">
        <v>0</v>
      </c>
      <c r="F66">
        <v>0</v>
      </c>
      <c r="G66" t="s">
        <v>23</v>
      </c>
      <c r="H66" t="s">
        <v>22</v>
      </c>
      <c r="I66">
        <v>1.17564072419469E-2</v>
      </c>
      <c r="J66" s="2">
        <f>RANK(I66,$I$2:$I$245)</f>
        <v>64</v>
      </c>
      <c r="K66">
        <v>1</v>
      </c>
      <c r="L66">
        <v>2.2799999999999998</v>
      </c>
      <c r="M66" s="2">
        <f>I66/(L66+0.0001)</f>
        <v>5.1560928213441951E-3</v>
      </c>
      <c r="N66" s="2">
        <f>RANK(M66,$M$2:$M$245)</f>
        <v>83</v>
      </c>
      <c r="O66">
        <v>9.3595610138191392E-3</v>
      </c>
      <c r="P66" s="2">
        <f>RANK(O66,$O$2:$O$245)</f>
        <v>130</v>
      </c>
    </row>
    <row r="67" spans="1:16" x14ac:dyDescent="0.2">
      <c r="A67" t="s">
        <v>26</v>
      </c>
      <c r="B67" t="s">
        <v>24</v>
      </c>
      <c r="C67">
        <v>5</v>
      </c>
      <c r="D67">
        <v>37</v>
      </c>
      <c r="E67">
        <v>5</v>
      </c>
      <c r="F67">
        <v>37</v>
      </c>
      <c r="G67" t="s">
        <v>23</v>
      </c>
      <c r="H67" t="s">
        <v>19</v>
      </c>
      <c r="I67">
        <v>1.17526143985689E-2</v>
      </c>
      <c r="J67" s="2">
        <f>RANK(I67,$I$2:$I$245)</f>
        <v>66</v>
      </c>
      <c r="K67">
        <v>1</v>
      </c>
      <c r="L67">
        <v>3.22</v>
      </c>
      <c r="M67" s="2">
        <f>I67/(L67+0.0001)</f>
        <v>3.6497669012045893E-3</v>
      </c>
      <c r="N67" s="2">
        <f>RANK(M67,$M$2:$M$245)</f>
        <v>140</v>
      </c>
      <c r="O67" s="2">
        <v>8.5170983862880405E-3</v>
      </c>
      <c r="P67" s="2">
        <f>RANK(O67,$O$2:$O$245)</f>
        <v>173</v>
      </c>
    </row>
    <row r="68" spans="1:16" x14ac:dyDescent="0.2">
      <c r="A68" t="s">
        <v>26</v>
      </c>
      <c r="B68" t="s">
        <v>25</v>
      </c>
      <c r="C68">
        <v>5</v>
      </c>
      <c r="D68">
        <v>25</v>
      </c>
      <c r="E68">
        <v>0</v>
      </c>
      <c r="F68">
        <v>0</v>
      </c>
      <c r="G68" t="s">
        <v>18</v>
      </c>
      <c r="H68" t="s">
        <v>19</v>
      </c>
      <c r="I68">
        <v>1.17285150829504E-2</v>
      </c>
      <c r="J68" s="2">
        <f>RANK(I68,$I$2:$I$245)</f>
        <v>67</v>
      </c>
      <c r="K68">
        <v>1</v>
      </c>
      <c r="L68">
        <v>1.34</v>
      </c>
      <c r="M68" s="2">
        <f>I68/(L68+0.0001)</f>
        <v>8.7519700641373026E-3</v>
      </c>
      <c r="N68" s="2">
        <f>RANK(M68,$M$2:$M$245)</f>
        <v>8</v>
      </c>
      <c r="O68">
        <f>I68*EXP(-0.01*L68)</f>
        <v>1.1572401279299219E-2</v>
      </c>
      <c r="P68" s="2">
        <f>RANK(O68,$O$2:$O$245)</f>
        <v>39</v>
      </c>
    </row>
    <row r="69" spans="1:16" x14ac:dyDescent="0.2">
      <c r="A69" t="s">
        <v>26</v>
      </c>
      <c r="B69" t="s">
        <v>25</v>
      </c>
      <c r="C69">
        <v>1</v>
      </c>
      <c r="D69">
        <v>12</v>
      </c>
      <c r="E69">
        <v>1</v>
      </c>
      <c r="F69">
        <v>12</v>
      </c>
      <c r="G69" t="s">
        <v>23</v>
      </c>
      <c r="H69" t="s">
        <v>19</v>
      </c>
      <c r="I69">
        <v>1.1712635255767601E-2</v>
      </c>
      <c r="J69" s="2">
        <f>RANK(I69,$I$2:$I$245)</f>
        <v>68</v>
      </c>
      <c r="K69">
        <v>1</v>
      </c>
      <c r="L69">
        <v>3.78</v>
      </c>
      <c r="M69" s="2">
        <f>I69/(L69+0.0001)</f>
        <v>3.0984987846267562E-3</v>
      </c>
      <c r="N69" s="2">
        <f>RANK(M69,$M$2:$M$245)</f>
        <v>179</v>
      </c>
      <c r="O69" s="2">
        <v>8.0258549204263608E-3</v>
      </c>
      <c r="P69" s="2">
        <f>RANK(O69,$O$2:$O$245)</f>
        <v>185</v>
      </c>
    </row>
    <row r="70" spans="1:16" x14ac:dyDescent="0.2">
      <c r="A70" t="s">
        <v>26</v>
      </c>
      <c r="B70" t="s">
        <v>25</v>
      </c>
      <c r="C70">
        <v>2</v>
      </c>
      <c r="D70">
        <v>12</v>
      </c>
      <c r="E70">
        <v>2</v>
      </c>
      <c r="F70">
        <v>12</v>
      </c>
      <c r="G70" t="s">
        <v>18</v>
      </c>
      <c r="H70" t="s">
        <v>19</v>
      </c>
      <c r="I70">
        <v>1.17105349623967E-2</v>
      </c>
      <c r="J70" s="2">
        <f>RANK(I70,$I$2:$I$245)</f>
        <v>69</v>
      </c>
      <c r="K70">
        <v>1</v>
      </c>
      <c r="L70">
        <v>2.52</v>
      </c>
      <c r="M70" s="2">
        <f>I70/(L70+0.0001)</f>
        <v>4.6468532845508909E-3</v>
      </c>
      <c r="N70" s="2">
        <f>RANK(M70,$M$2:$M$245)</f>
        <v>101</v>
      </c>
      <c r="O70" s="2">
        <f>I70*EXP(-0.01*L70)</f>
        <v>1.1419116772227834E-2</v>
      </c>
      <c r="P70" s="2">
        <f>RANK(O70,$O$2:$O$245)</f>
        <v>41</v>
      </c>
    </row>
    <row r="71" spans="1:16" x14ac:dyDescent="0.2">
      <c r="A71" t="s">
        <v>26</v>
      </c>
      <c r="B71" t="s">
        <v>24</v>
      </c>
      <c r="C71">
        <v>5</v>
      </c>
      <c r="D71">
        <v>50</v>
      </c>
      <c r="E71">
        <v>0</v>
      </c>
      <c r="F71">
        <v>0</v>
      </c>
      <c r="G71" t="s">
        <v>23</v>
      </c>
      <c r="H71" t="s">
        <v>19</v>
      </c>
      <c r="I71">
        <v>1.1671640315059699E-2</v>
      </c>
      <c r="J71" s="2">
        <f>RANK(I71,$I$2:$I$245)</f>
        <v>70</v>
      </c>
      <c r="K71">
        <v>1</v>
      </c>
      <c r="L71">
        <v>1.88</v>
      </c>
      <c r="M71" s="2">
        <f>I71/(L71+0.0001)</f>
        <v>6.2079891043347159E-3</v>
      </c>
      <c r="N71" s="2">
        <f>RANK(M71,$M$2:$M$245)</f>
        <v>45</v>
      </c>
      <c r="O71" s="2">
        <v>9.6712928225883392E-3</v>
      </c>
      <c r="P71" s="2">
        <f>RANK(O71,$O$2:$O$245)</f>
        <v>125</v>
      </c>
    </row>
    <row r="72" spans="1:16" x14ac:dyDescent="0.2">
      <c r="A72" t="s">
        <v>26</v>
      </c>
      <c r="B72" t="s">
        <v>25</v>
      </c>
      <c r="C72">
        <v>5</v>
      </c>
      <c r="D72">
        <v>25</v>
      </c>
      <c r="E72">
        <v>5</v>
      </c>
      <c r="F72">
        <v>25</v>
      </c>
      <c r="G72" t="s">
        <v>18</v>
      </c>
      <c r="H72" t="s">
        <v>19</v>
      </c>
      <c r="I72">
        <v>1.16596288831614E-2</v>
      </c>
      <c r="J72" s="2">
        <f>RANK(I72,$I$2:$I$245)</f>
        <v>71</v>
      </c>
      <c r="K72">
        <v>1</v>
      </c>
      <c r="L72">
        <v>2.46</v>
      </c>
      <c r="M72" s="2">
        <f>I72/(L72+0.0001)</f>
        <v>4.739493875517824E-3</v>
      </c>
      <c r="N72" s="2">
        <f>RANK(M72,$M$2:$M$245)</f>
        <v>100</v>
      </c>
      <c r="O72" s="2">
        <f>I72*EXP(-0.01*L72)</f>
        <v>1.1376301230828721E-2</v>
      </c>
      <c r="P72" s="2">
        <f>RANK(O72,$O$2:$O$245)</f>
        <v>42</v>
      </c>
    </row>
    <row r="73" spans="1:16" x14ac:dyDescent="0.2">
      <c r="A73" t="s">
        <v>26</v>
      </c>
      <c r="B73" t="s">
        <v>24</v>
      </c>
      <c r="C73">
        <v>2</v>
      </c>
      <c r="D73">
        <v>25</v>
      </c>
      <c r="E73">
        <v>2</v>
      </c>
      <c r="F73">
        <v>25</v>
      </c>
      <c r="G73" t="s">
        <v>23</v>
      </c>
      <c r="H73" t="s">
        <v>22</v>
      </c>
      <c r="I73">
        <v>1.1649580615097899E-2</v>
      </c>
      <c r="J73" s="2">
        <f>RANK(I73,$I$2:$I$245)</f>
        <v>72</v>
      </c>
      <c r="K73">
        <v>1</v>
      </c>
      <c r="L73">
        <v>4.08</v>
      </c>
      <c r="M73" s="2">
        <f>I73/(L73+0.0001)</f>
        <v>2.8552193855782703E-3</v>
      </c>
      <c r="N73" s="2">
        <f>RANK(M73,$M$2:$M$245)</f>
        <v>188</v>
      </c>
      <c r="O73" s="2">
        <v>7.7467250561789897E-3</v>
      </c>
      <c r="P73" s="2">
        <f>RANK(O73,$O$2:$O$245)</f>
        <v>199</v>
      </c>
    </row>
    <row r="74" spans="1:16" x14ac:dyDescent="0.2">
      <c r="A74" t="s">
        <v>26</v>
      </c>
      <c r="B74" t="s">
        <v>25</v>
      </c>
      <c r="C74">
        <v>5</v>
      </c>
      <c r="D74">
        <v>50</v>
      </c>
      <c r="E74">
        <v>0</v>
      </c>
      <c r="F74">
        <v>0</v>
      </c>
      <c r="G74" t="s">
        <v>23</v>
      </c>
      <c r="H74" t="s">
        <v>19</v>
      </c>
      <c r="I74">
        <v>1.1637718363415201E-2</v>
      </c>
      <c r="J74" s="2">
        <f>RANK(I74,$I$2:$I$245)</f>
        <v>73</v>
      </c>
      <c r="K74">
        <v>1</v>
      </c>
      <c r="L74">
        <v>2.2799999999999998</v>
      </c>
      <c r="M74" s="2">
        <f>I74/(L74+0.0001)</f>
        <v>5.1040385787532129E-3</v>
      </c>
      <c r="N74" s="2">
        <f>RANK(M74,$M$2:$M$245)</f>
        <v>89</v>
      </c>
      <c r="O74">
        <v>9.2650699182474008E-3</v>
      </c>
      <c r="P74" s="2">
        <f>RANK(O74,$O$2:$O$245)</f>
        <v>135</v>
      </c>
    </row>
    <row r="75" spans="1:16" x14ac:dyDescent="0.2">
      <c r="A75" t="s">
        <v>26</v>
      </c>
      <c r="B75" t="s">
        <v>24</v>
      </c>
      <c r="C75">
        <v>2</v>
      </c>
      <c r="D75">
        <v>25</v>
      </c>
      <c r="E75">
        <v>0</v>
      </c>
      <c r="F75">
        <v>0</v>
      </c>
      <c r="G75" t="s">
        <v>23</v>
      </c>
      <c r="H75" t="s">
        <v>19</v>
      </c>
      <c r="I75">
        <v>1.16348849891356E-2</v>
      </c>
      <c r="J75" s="2">
        <f>RANK(I75,$I$2:$I$245)</f>
        <v>74</v>
      </c>
      <c r="K75">
        <v>1</v>
      </c>
      <c r="L75">
        <v>1.98</v>
      </c>
      <c r="M75" s="2">
        <f>I75/(L75+0.0001)</f>
        <v>5.8759077769484367E-3</v>
      </c>
      <c r="N75" s="2">
        <f>RANK(M75,$M$2:$M$245)</f>
        <v>60</v>
      </c>
      <c r="O75" s="2">
        <v>9.54490888981273E-3</v>
      </c>
      <c r="P75" s="2">
        <f>RANK(O75,$O$2:$O$245)</f>
        <v>126</v>
      </c>
    </row>
    <row r="76" spans="1:16" x14ac:dyDescent="0.2">
      <c r="A76" t="s">
        <v>26</v>
      </c>
      <c r="B76" t="s">
        <v>24</v>
      </c>
      <c r="C76">
        <v>5</v>
      </c>
      <c r="D76">
        <v>50</v>
      </c>
      <c r="E76">
        <v>5</v>
      </c>
      <c r="F76">
        <v>50</v>
      </c>
      <c r="G76" t="s">
        <v>23</v>
      </c>
      <c r="H76" t="s">
        <v>22</v>
      </c>
      <c r="I76">
        <v>1.1617100371747201E-2</v>
      </c>
      <c r="J76" s="2">
        <f>RANK(I76,$I$2:$I$245)</f>
        <v>75</v>
      </c>
      <c r="K76">
        <v>1</v>
      </c>
      <c r="L76">
        <v>3.78</v>
      </c>
      <c r="M76" s="2">
        <f>I76/(L76+0.0001)</f>
        <v>3.0732256743861803E-3</v>
      </c>
      <c r="N76" s="2">
        <f>RANK(M76,$M$2:$M$245)</f>
        <v>181</v>
      </c>
      <c r="O76">
        <v>7.9603915040179999E-3</v>
      </c>
      <c r="P76" s="2">
        <f>RANK(O76,$O$2:$O$245)</f>
        <v>187</v>
      </c>
    </row>
    <row r="77" spans="1:16" x14ac:dyDescent="0.2">
      <c r="A77" t="s">
        <v>26</v>
      </c>
      <c r="B77" t="s">
        <v>24</v>
      </c>
      <c r="C77">
        <v>5</v>
      </c>
      <c r="D77">
        <v>25</v>
      </c>
      <c r="E77">
        <v>0</v>
      </c>
      <c r="F77">
        <v>0</v>
      </c>
      <c r="G77" t="s">
        <v>18</v>
      </c>
      <c r="H77" t="s">
        <v>19</v>
      </c>
      <c r="I77">
        <v>1.1600796234953199E-2</v>
      </c>
      <c r="J77" s="2">
        <f>RANK(I77,$I$2:$I$245)</f>
        <v>76</v>
      </c>
      <c r="K77">
        <v>1</v>
      </c>
      <c r="L77">
        <v>1.1599999999999999</v>
      </c>
      <c r="M77" s="2">
        <f>I77/(L77+0.0001)</f>
        <v>9.9998243556186535E-3</v>
      </c>
      <c r="N77" s="2">
        <f>RANK(M77,$M$2:$M$245)</f>
        <v>5</v>
      </c>
      <c r="O77">
        <f>I77*EXP(-0.01*L77)</f>
        <v>1.1467004490990782E-2</v>
      </c>
      <c r="P77" s="2">
        <f>RANK(O77,$O$2:$O$245)</f>
        <v>40</v>
      </c>
    </row>
    <row r="78" spans="1:16" x14ac:dyDescent="0.2">
      <c r="A78" t="s">
        <v>26</v>
      </c>
      <c r="B78" t="s">
        <v>24</v>
      </c>
      <c r="C78">
        <v>1</v>
      </c>
      <c r="D78">
        <v>12</v>
      </c>
      <c r="E78">
        <v>1</v>
      </c>
      <c r="F78">
        <v>12</v>
      </c>
      <c r="G78" t="s">
        <v>23</v>
      </c>
      <c r="H78" t="s">
        <v>19</v>
      </c>
      <c r="I78">
        <v>1.1599769042174701E-2</v>
      </c>
      <c r="J78" s="2">
        <f>RANK(I78,$I$2:$I$245)</f>
        <v>77</v>
      </c>
      <c r="K78">
        <v>1</v>
      </c>
      <c r="L78">
        <v>3.52</v>
      </c>
      <c r="M78" s="2">
        <f>I78/(L78+0.0001)</f>
        <v>3.295295316091787E-3</v>
      </c>
      <c r="N78" s="2">
        <f>RANK(M78,$M$2:$M$245)</f>
        <v>166</v>
      </c>
      <c r="O78" s="2">
        <v>8.1578869868780095E-3</v>
      </c>
      <c r="P78" s="2">
        <f>RANK(O78,$O$2:$O$245)</f>
        <v>179</v>
      </c>
    </row>
    <row r="79" spans="1:16" x14ac:dyDescent="0.2">
      <c r="A79" t="s">
        <v>26</v>
      </c>
      <c r="B79" t="s">
        <v>24</v>
      </c>
      <c r="C79">
        <v>2</v>
      </c>
      <c r="D79">
        <v>12</v>
      </c>
      <c r="E79">
        <v>2</v>
      </c>
      <c r="F79">
        <v>12</v>
      </c>
      <c r="G79" t="s">
        <v>18</v>
      </c>
      <c r="H79" t="s">
        <v>19</v>
      </c>
      <c r="I79">
        <v>1.15982280898637E-2</v>
      </c>
      <c r="J79" s="2">
        <f>RANK(I79,$I$2:$I$245)</f>
        <v>78</v>
      </c>
      <c r="K79">
        <v>1</v>
      </c>
      <c r="L79">
        <v>2.3199999999999998</v>
      </c>
      <c r="M79" s="2">
        <f>I79/(L79+0.0001)</f>
        <v>4.9990207705976897E-3</v>
      </c>
      <c r="N79" s="2">
        <f>RANK(M79,$M$2:$M$245)</f>
        <v>93</v>
      </c>
      <c r="O79" s="2">
        <f>I79*EXP(-0.01*L79)</f>
        <v>1.1332246514506249E-2</v>
      </c>
      <c r="P79" s="2">
        <f>RANK(O79,$O$2:$O$245)</f>
        <v>43</v>
      </c>
    </row>
    <row r="80" spans="1:16" x14ac:dyDescent="0.2">
      <c r="A80" t="s">
        <v>26</v>
      </c>
      <c r="B80" t="s">
        <v>24</v>
      </c>
      <c r="C80">
        <v>5</v>
      </c>
      <c r="D80">
        <v>25</v>
      </c>
      <c r="E80">
        <v>5</v>
      </c>
      <c r="F80">
        <v>25</v>
      </c>
      <c r="G80" t="s">
        <v>18</v>
      </c>
      <c r="H80" t="s">
        <v>19</v>
      </c>
      <c r="I80">
        <v>1.1558919539980599E-2</v>
      </c>
      <c r="J80" s="2">
        <f>RANK(I80,$I$2:$I$245)</f>
        <v>79</v>
      </c>
      <c r="K80">
        <v>1</v>
      </c>
      <c r="L80">
        <v>2.36</v>
      </c>
      <c r="M80" s="2">
        <f>I80/(L80+0.0001)</f>
        <v>4.8976397355962034E-3</v>
      </c>
      <c r="N80" s="2">
        <f>RANK(M80,$M$2:$M$245)</f>
        <v>95</v>
      </c>
      <c r="O80" s="2">
        <f>I80*EXP(-0.01*L80)</f>
        <v>1.1289322793216396E-2</v>
      </c>
      <c r="P80" s="2">
        <f>RANK(O80,$O$2:$O$245)</f>
        <v>44</v>
      </c>
    </row>
    <row r="81" spans="1:16" x14ac:dyDescent="0.2">
      <c r="A81" t="s">
        <v>26</v>
      </c>
      <c r="B81" t="s">
        <v>25</v>
      </c>
      <c r="C81">
        <v>5</v>
      </c>
      <c r="D81">
        <v>50</v>
      </c>
      <c r="E81">
        <v>5</v>
      </c>
      <c r="F81">
        <v>50</v>
      </c>
      <c r="G81" t="s">
        <v>23</v>
      </c>
      <c r="H81" t="s">
        <v>22</v>
      </c>
      <c r="I81">
        <v>1.14678899082569E-2</v>
      </c>
      <c r="J81" s="2">
        <f>RANK(I81,$I$2:$I$245)</f>
        <v>80</v>
      </c>
      <c r="K81">
        <v>1</v>
      </c>
      <c r="L81">
        <v>3.8</v>
      </c>
      <c r="M81" s="2">
        <f>I81/(L81+0.0001)</f>
        <v>3.0177863499005028E-3</v>
      </c>
      <c r="N81" s="2">
        <f>RANK(M81,$M$2:$M$245)</f>
        <v>184</v>
      </c>
      <c r="O81">
        <v>7.8424473533527193E-3</v>
      </c>
      <c r="P81" s="2">
        <f>RANK(O81,$O$2:$O$245)</f>
        <v>192</v>
      </c>
    </row>
    <row r="82" spans="1:16" x14ac:dyDescent="0.2">
      <c r="A82" t="s">
        <v>26</v>
      </c>
      <c r="B82" t="s">
        <v>25</v>
      </c>
      <c r="C82">
        <v>2</v>
      </c>
      <c r="D82">
        <v>25</v>
      </c>
      <c r="E82">
        <v>2</v>
      </c>
      <c r="F82">
        <v>25</v>
      </c>
      <c r="G82" t="s">
        <v>23</v>
      </c>
      <c r="H82" t="s">
        <v>19</v>
      </c>
      <c r="I82">
        <v>1.1452535731651999E-2</v>
      </c>
      <c r="J82" s="2">
        <f>RANK(I82,$I$2:$I$245)</f>
        <v>81</v>
      </c>
      <c r="K82">
        <v>1</v>
      </c>
      <c r="L82">
        <v>3.8</v>
      </c>
      <c r="M82" s="2">
        <f>I82/(L82+0.0001)</f>
        <v>3.0137458834378042E-3</v>
      </c>
      <c r="N82" s="2">
        <f>RANK(M82,$M$2:$M$245)</f>
        <v>185</v>
      </c>
      <c r="O82">
        <v>7.8319472245023895E-3</v>
      </c>
      <c r="P82" s="2">
        <f>RANK(O82,$O$2:$O$245)</f>
        <v>194</v>
      </c>
    </row>
    <row r="83" spans="1:16" x14ac:dyDescent="0.2">
      <c r="A83" t="s">
        <v>26</v>
      </c>
      <c r="B83" t="s">
        <v>25</v>
      </c>
      <c r="C83">
        <v>1</v>
      </c>
      <c r="D83">
        <v>12</v>
      </c>
      <c r="E83">
        <v>1</v>
      </c>
      <c r="F83">
        <v>12</v>
      </c>
      <c r="G83" t="s">
        <v>18</v>
      </c>
      <c r="H83" t="s">
        <v>22</v>
      </c>
      <c r="I83">
        <v>1.14051094890511E-2</v>
      </c>
      <c r="J83" s="2">
        <f>RANK(I83,$I$2:$I$245)</f>
        <v>82</v>
      </c>
      <c r="K83">
        <v>1</v>
      </c>
      <c r="L83">
        <v>3.28</v>
      </c>
      <c r="M83" s="2">
        <f>I83/(L83+0.0001)</f>
        <v>3.4770615191765798E-3</v>
      </c>
      <c r="N83" s="2">
        <f>RANK(M83,$M$2:$M$245)</f>
        <v>155</v>
      </c>
      <c r="O83">
        <f>I83*EXP(-0.01*L83)</f>
        <v>1.1037090404345478E-2</v>
      </c>
      <c r="P83" s="2">
        <f>RANK(O83,$O$2:$O$245)</f>
        <v>50</v>
      </c>
    </row>
    <row r="84" spans="1:16" x14ac:dyDescent="0.2">
      <c r="A84" t="s">
        <v>26</v>
      </c>
      <c r="B84" t="s">
        <v>25</v>
      </c>
      <c r="C84">
        <v>5</v>
      </c>
      <c r="D84">
        <v>37</v>
      </c>
      <c r="E84">
        <v>5</v>
      </c>
      <c r="F84">
        <v>37</v>
      </c>
      <c r="G84" t="s">
        <v>18</v>
      </c>
      <c r="H84" t="s">
        <v>22</v>
      </c>
      <c r="I84">
        <v>1.13869278068777E-2</v>
      </c>
      <c r="J84" s="2">
        <f>RANK(I84,$I$2:$I$245)</f>
        <v>83</v>
      </c>
      <c r="K84">
        <v>1</v>
      </c>
      <c r="L84">
        <v>2.92</v>
      </c>
      <c r="M84" s="2">
        <f>I84/(L84+0.0001)</f>
        <v>3.8994992660791408E-3</v>
      </c>
      <c r="N84" s="2">
        <f>RANK(M84,$M$2:$M$245)</f>
        <v>121</v>
      </c>
      <c r="O84">
        <f>I84*EXP(-0.01*L84)</f>
        <v>1.1059237082677581E-2</v>
      </c>
      <c r="P84" s="2">
        <f>RANK(O84,$O$2:$O$245)</f>
        <v>47</v>
      </c>
    </row>
    <row r="85" spans="1:16" x14ac:dyDescent="0.2">
      <c r="A85" t="s">
        <v>26</v>
      </c>
      <c r="B85" t="s">
        <v>24</v>
      </c>
      <c r="C85">
        <v>2</v>
      </c>
      <c r="D85">
        <v>25</v>
      </c>
      <c r="E85">
        <v>2</v>
      </c>
      <c r="F85">
        <v>25</v>
      </c>
      <c r="G85" t="s">
        <v>23</v>
      </c>
      <c r="H85" t="s">
        <v>19</v>
      </c>
      <c r="I85">
        <v>1.1373009955695901E-2</v>
      </c>
      <c r="J85" s="2">
        <f>RANK(I85,$I$2:$I$245)</f>
        <v>84</v>
      </c>
      <c r="K85">
        <v>1</v>
      </c>
      <c r="L85">
        <v>3.16</v>
      </c>
      <c r="M85" s="2">
        <f>I85/(L85+0.0001)</f>
        <v>3.5989398929451282E-3</v>
      </c>
      <c r="N85" s="2">
        <f>RANK(M85,$M$2:$M$245)</f>
        <v>146</v>
      </c>
      <c r="O85" s="2">
        <v>8.2916003850505605E-3</v>
      </c>
      <c r="P85" s="2">
        <f>RANK(O85,$O$2:$O$245)</f>
        <v>174</v>
      </c>
    </row>
    <row r="86" spans="1:16" x14ac:dyDescent="0.2">
      <c r="A86" t="s">
        <v>26</v>
      </c>
      <c r="B86" t="s">
        <v>25</v>
      </c>
      <c r="C86">
        <v>2</v>
      </c>
      <c r="D86">
        <v>25</v>
      </c>
      <c r="E86">
        <v>0</v>
      </c>
      <c r="F86">
        <v>0</v>
      </c>
      <c r="G86" t="s">
        <v>18</v>
      </c>
      <c r="H86" t="s">
        <v>22</v>
      </c>
      <c r="I86">
        <v>1.13584734211722E-2</v>
      </c>
      <c r="J86" s="2">
        <f>RANK(I86,$I$2:$I$245)</f>
        <v>85</v>
      </c>
      <c r="K86">
        <v>1</v>
      </c>
      <c r="L86">
        <v>1.8</v>
      </c>
      <c r="M86" s="2">
        <f>I86/(L86+0.0001)</f>
        <v>6.3099124610700519E-3</v>
      </c>
      <c r="N86" s="2">
        <f>RANK(M86,$M$2:$M$245)</f>
        <v>41</v>
      </c>
      <c r="O86">
        <f>I86*EXP(-0.01*L86)</f>
        <v>1.1155849981352809E-2</v>
      </c>
      <c r="P86" s="2">
        <f>RANK(O86,$O$2:$O$245)</f>
        <v>45</v>
      </c>
    </row>
    <row r="87" spans="1:16" x14ac:dyDescent="0.2">
      <c r="A87" t="s">
        <v>26</v>
      </c>
      <c r="B87" t="s">
        <v>24</v>
      </c>
      <c r="C87">
        <v>1</v>
      </c>
      <c r="D87">
        <v>12</v>
      </c>
      <c r="E87">
        <v>1</v>
      </c>
      <c r="F87">
        <v>12</v>
      </c>
      <c r="G87" t="s">
        <v>18</v>
      </c>
      <c r="H87" t="s">
        <v>22</v>
      </c>
      <c r="I87">
        <v>1.13507377979569E-2</v>
      </c>
      <c r="J87" s="2">
        <f>RANK(I87,$I$2:$I$245)</f>
        <v>86</v>
      </c>
      <c r="K87">
        <v>1</v>
      </c>
      <c r="L87">
        <v>2.94</v>
      </c>
      <c r="M87" s="2">
        <f>I87/(L87+0.0001)</f>
        <v>3.8606638542760109E-3</v>
      </c>
      <c r="N87" s="2">
        <f>RANK(M87,$M$2:$M$245)</f>
        <v>127</v>
      </c>
      <c r="O87">
        <f>I87*EXP(-0.01*L87)</f>
        <v>1.1021883945332321E-2</v>
      </c>
      <c r="P87" s="2">
        <f>RANK(O87,$O$2:$O$245)</f>
        <v>53</v>
      </c>
    </row>
    <row r="88" spans="1:16" x14ac:dyDescent="0.2">
      <c r="A88" t="s">
        <v>26</v>
      </c>
      <c r="B88" t="s">
        <v>24</v>
      </c>
      <c r="C88">
        <v>5</v>
      </c>
      <c r="D88">
        <v>75</v>
      </c>
      <c r="E88">
        <v>0</v>
      </c>
      <c r="F88">
        <v>0</v>
      </c>
      <c r="G88" t="s">
        <v>23</v>
      </c>
      <c r="H88" t="s">
        <v>19</v>
      </c>
      <c r="I88">
        <v>1.1349261122451999E-2</v>
      </c>
      <c r="J88" s="2">
        <f>RANK(I88,$I$2:$I$245)</f>
        <v>87</v>
      </c>
      <c r="K88">
        <v>1</v>
      </c>
      <c r="L88">
        <v>1.8</v>
      </c>
      <c r="M88" s="2">
        <f>I88/(L88+0.0001)</f>
        <v>6.3047948016510189E-3</v>
      </c>
      <c r="N88" s="2">
        <f>RANK(M88,$M$2:$M$245)</f>
        <v>42</v>
      </c>
      <c r="O88" s="2">
        <v>9.4796997371122092E-3</v>
      </c>
      <c r="P88" s="2">
        <f>RANK(O88,$O$2:$O$245)</f>
        <v>128</v>
      </c>
    </row>
    <row r="89" spans="1:16" x14ac:dyDescent="0.2">
      <c r="A89" t="s">
        <v>26</v>
      </c>
      <c r="B89" t="s">
        <v>24</v>
      </c>
      <c r="C89">
        <v>5</v>
      </c>
      <c r="D89">
        <v>100</v>
      </c>
      <c r="E89">
        <v>0</v>
      </c>
      <c r="F89">
        <v>0</v>
      </c>
      <c r="G89" t="s">
        <v>23</v>
      </c>
      <c r="H89" t="s">
        <v>19</v>
      </c>
      <c r="I89">
        <v>1.1343657371823201E-2</v>
      </c>
      <c r="J89" s="2">
        <f>RANK(I89,$I$2:$I$245)</f>
        <v>88</v>
      </c>
      <c r="K89">
        <v>1</v>
      </c>
      <c r="L89">
        <v>1.8</v>
      </c>
      <c r="M89" s="2">
        <f>I89/(L89+0.0001)</f>
        <v>6.3016817798029002E-3</v>
      </c>
      <c r="N89" s="2">
        <f>RANK(M89,$M$2:$M$245)</f>
        <v>43</v>
      </c>
      <c r="O89" s="2">
        <v>9.4750190911398E-3</v>
      </c>
      <c r="P89" s="2">
        <f>RANK(O89,$O$2:$O$245)</f>
        <v>129</v>
      </c>
    </row>
    <row r="90" spans="1:16" x14ac:dyDescent="0.2">
      <c r="A90" t="s">
        <v>26</v>
      </c>
      <c r="B90" t="s">
        <v>24</v>
      </c>
      <c r="C90">
        <v>5</v>
      </c>
      <c r="D90">
        <v>37</v>
      </c>
      <c r="E90">
        <v>5</v>
      </c>
      <c r="F90">
        <v>37</v>
      </c>
      <c r="G90" t="s">
        <v>18</v>
      </c>
      <c r="H90" t="s">
        <v>22</v>
      </c>
      <c r="I90">
        <v>1.1337868480725599E-2</v>
      </c>
      <c r="J90" s="2">
        <f>RANK(I90,$I$2:$I$245)</f>
        <v>89</v>
      </c>
      <c r="K90">
        <v>1</v>
      </c>
      <c r="L90">
        <v>2.82</v>
      </c>
      <c r="M90" s="2">
        <f>I90/(L90+0.0001)</f>
        <v>4.0203781712441402E-3</v>
      </c>
      <c r="N90" s="2">
        <f>RANK(M90,$M$2:$M$245)</f>
        <v>115</v>
      </c>
      <c r="O90" s="2">
        <f>I90*EXP(-0.01*L90)</f>
        <v>1.1022606673178633E-2</v>
      </c>
      <c r="P90" s="2">
        <f>RANK(O90,$O$2:$O$245)</f>
        <v>52</v>
      </c>
    </row>
    <row r="91" spans="1:16" x14ac:dyDescent="0.2">
      <c r="A91" t="s">
        <v>26</v>
      </c>
      <c r="B91" t="s">
        <v>24</v>
      </c>
      <c r="C91">
        <v>5</v>
      </c>
      <c r="D91">
        <v>50</v>
      </c>
      <c r="E91">
        <v>5</v>
      </c>
      <c r="F91">
        <v>50</v>
      </c>
      <c r="G91" t="s">
        <v>23</v>
      </c>
      <c r="H91" t="s">
        <v>19</v>
      </c>
      <c r="I91">
        <v>1.13302074705567E-2</v>
      </c>
      <c r="J91" s="2">
        <f>RANK(I91,$I$2:$I$245)</f>
        <v>90</v>
      </c>
      <c r="K91">
        <v>1</v>
      </c>
      <c r="L91">
        <v>3.14</v>
      </c>
      <c r="M91" s="2">
        <f>I91/(L91+0.0001)</f>
        <v>3.6082314163742232E-3</v>
      </c>
      <c r="N91" s="2">
        <f>RANK(M91,$M$2:$M$245)</f>
        <v>144</v>
      </c>
      <c r="O91">
        <v>8.2769321502357308E-3</v>
      </c>
      <c r="P91" s="2">
        <f>RANK(O91,$O$2:$O$245)</f>
        <v>175</v>
      </c>
    </row>
    <row r="92" spans="1:16" x14ac:dyDescent="0.2">
      <c r="A92" t="s">
        <v>26</v>
      </c>
      <c r="B92" t="s">
        <v>25</v>
      </c>
      <c r="C92">
        <v>1</v>
      </c>
      <c r="D92">
        <v>25</v>
      </c>
      <c r="E92">
        <v>0</v>
      </c>
      <c r="F92">
        <v>0</v>
      </c>
      <c r="G92" t="s">
        <v>23</v>
      </c>
      <c r="H92" t="s">
        <v>22</v>
      </c>
      <c r="I92">
        <v>1.12943302462164E-2</v>
      </c>
      <c r="J92" s="2">
        <f>RANK(I92,$I$2:$I$245)</f>
        <v>91</v>
      </c>
      <c r="K92">
        <v>1</v>
      </c>
      <c r="L92">
        <v>2.6</v>
      </c>
      <c r="M92" s="2">
        <f>I92/(L92+0.0001)</f>
        <v>4.343806102156224E-3</v>
      </c>
      <c r="N92" s="2">
        <f>RANK(M92,$M$2:$M$245)</f>
        <v>108</v>
      </c>
      <c r="O92" s="2">
        <v>8.7085112469343397E-3</v>
      </c>
      <c r="P92" s="2">
        <f>RANK(O92,$O$2:$O$245)</f>
        <v>167</v>
      </c>
    </row>
    <row r="93" spans="1:16" x14ac:dyDescent="0.2">
      <c r="A93" t="s">
        <v>26</v>
      </c>
      <c r="B93" t="s">
        <v>25</v>
      </c>
      <c r="C93">
        <v>1</v>
      </c>
      <c r="D93">
        <v>12</v>
      </c>
      <c r="E93">
        <v>1</v>
      </c>
      <c r="F93">
        <v>12</v>
      </c>
      <c r="G93" t="s">
        <v>18</v>
      </c>
      <c r="H93" t="s">
        <v>19</v>
      </c>
      <c r="I93">
        <v>1.12754523437835E-2</v>
      </c>
      <c r="J93" s="2">
        <f>RANK(I93,$I$2:$I$245)</f>
        <v>92</v>
      </c>
      <c r="K93">
        <v>1</v>
      </c>
      <c r="L93">
        <v>2.92</v>
      </c>
      <c r="M93" s="2">
        <f>I93/(L93+0.0001)</f>
        <v>3.8613240449928083E-3</v>
      </c>
      <c r="N93" s="2">
        <f>RANK(M93,$M$2:$M$245)</f>
        <v>126</v>
      </c>
      <c r="O93" s="2">
        <f>I93*EXP(-0.01*L93)</f>
        <v>1.0950969638098246E-2</v>
      </c>
      <c r="P93" s="2">
        <f>RANK(O93,$O$2:$O$245)</f>
        <v>57</v>
      </c>
    </row>
    <row r="94" spans="1:16" x14ac:dyDescent="0.2">
      <c r="A94" t="s">
        <v>26</v>
      </c>
      <c r="B94" t="s">
        <v>24</v>
      </c>
      <c r="C94">
        <v>2</v>
      </c>
      <c r="D94">
        <v>25</v>
      </c>
      <c r="E94">
        <v>0</v>
      </c>
      <c r="F94">
        <v>0</v>
      </c>
      <c r="G94" t="s">
        <v>18</v>
      </c>
      <c r="H94" t="s">
        <v>22</v>
      </c>
      <c r="I94">
        <v>1.1268875366238501E-2</v>
      </c>
      <c r="J94" s="2">
        <f>RANK(I94,$I$2:$I$245)</f>
        <v>93</v>
      </c>
      <c r="K94">
        <v>1</v>
      </c>
      <c r="L94">
        <v>1.5</v>
      </c>
      <c r="M94" s="2">
        <f>I94/(L94+0.0001)</f>
        <v>7.5120827719742022E-3</v>
      </c>
      <c r="N94" s="2">
        <f>RANK(M94,$M$2:$M$245)</f>
        <v>18</v>
      </c>
      <c r="O94">
        <f>I94*EXP(-0.01*L94)</f>
        <v>1.1101103669180382E-2</v>
      </c>
      <c r="P94" s="2">
        <f>RANK(O94,$O$2:$O$245)</f>
        <v>46</v>
      </c>
    </row>
    <row r="95" spans="1:16" x14ac:dyDescent="0.2">
      <c r="A95" t="s">
        <v>26</v>
      </c>
      <c r="B95" t="s">
        <v>25</v>
      </c>
      <c r="C95">
        <v>5</v>
      </c>
      <c r="D95">
        <v>50</v>
      </c>
      <c r="E95">
        <v>5</v>
      </c>
      <c r="F95">
        <v>50</v>
      </c>
      <c r="G95" t="s">
        <v>23</v>
      </c>
      <c r="H95" t="s">
        <v>19</v>
      </c>
      <c r="I95">
        <v>1.1267087569670001E-2</v>
      </c>
      <c r="J95" s="2">
        <f>RANK(I95,$I$2:$I$245)</f>
        <v>94</v>
      </c>
      <c r="K95">
        <v>1</v>
      </c>
      <c r="L95">
        <v>3.46</v>
      </c>
      <c r="M95" s="2">
        <f>I95/(L95+0.0001)</f>
        <v>3.2562895782405135E-3</v>
      </c>
      <c r="N95" s="2">
        <f>RANK(M95,$M$2:$M$245)</f>
        <v>171</v>
      </c>
      <c r="O95">
        <v>7.9716051488639694E-3</v>
      </c>
      <c r="P95" s="2">
        <f>RANK(O95,$O$2:$O$245)</f>
        <v>186</v>
      </c>
    </row>
    <row r="96" spans="1:16" x14ac:dyDescent="0.2">
      <c r="A96" t="s">
        <v>26</v>
      </c>
      <c r="B96" t="s">
        <v>25</v>
      </c>
      <c r="C96">
        <v>5</v>
      </c>
      <c r="D96">
        <v>37</v>
      </c>
      <c r="E96">
        <v>5</v>
      </c>
      <c r="F96">
        <v>37</v>
      </c>
      <c r="G96" t="s">
        <v>18</v>
      </c>
      <c r="H96" t="s">
        <v>19</v>
      </c>
      <c r="I96">
        <v>1.12619271048749E-2</v>
      </c>
      <c r="J96" s="2">
        <f>RANK(I96,$I$2:$I$245)</f>
        <v>95</v>
      </c>
      <c r="K96">
        <v>1</v>
      </c>
      <c r="L96">
        <v>2.72</v>
      </c>
      <c r="M96" s="2">
        <f>I96/(L96+0.0001)</f>
        <v>4.1402621612716068E-3</v>
      </c>
      <c r="N96" s="2">
        <f>RANK(M96,$M$2:$M$245)</f>
        <v>111</v>
      </c>
      <c r="O96">
        <f>I96*EXP(-0.01*L96)</f>
        <v>1.0959731183311713E-2</v>
      </c>
      <c r="P96" s="2">
        <f>RANK(O96,$O$2:$O$245)</f>
        <v>56</v>
      </c>
    </row>
    <row r="97" spans="1:16" x14ac:dyDescent="0.2">
      <c r="A97" t="s">
        <v>26</v>
      </c>
      <c r="B97" t="s">
        <v>25</v>
      </c>
      <c r="C97">
        <v>2</v>
      </c>
      <c r="D97">
        <v>25</v>
      </c>
      <c r="E97">
        <v>2</v>
      </c>
      <c r="F97">
        <v>25</v>
      </c>
      <c r="G97" t="s">
        <v>18</v>
      </c>
      <c r="H97" t="s">
        <v>22</v>
      </c>
      <c r="I97">
        <v>1.1258725512272E-2</v>
      </c>
      <c r="J97" s="2">
        <f>RANK(I97,$I$2:$I$245)</f>
        <v>96</v>
      </c>
      <c r="K97">
        <v>1</v>
      </c>
      <c r="L97">
        <v>3.2</v>
      </c>
      <c r="M97" s="2">
        <f>I97/(L97+0.0001)</f>
        <v>3.5182417775294519E-3</v>
      </c>
      <c r="N97" s="2">
        <f>RANK(M97,$M$2:$M$245)</f>
        <v>153</v>
      </c>
      <c r="O97" s="2">
        <f>I97*EXP(-0.01*L97)</f>
        <v>1.0904149764458417E-2</v>
      </c>
      <c r="P97" s="2">
        <f>RANK(O97,$O$2:$O$245)</f>
        <v>61</v>
      </c>
    </row>
    <row r="98" spans="1:16" x14ac:dyDescent="0.2">
      <c r="A98" t="s">
        <v>26</v>
      </c>
      <c r="B98" t="s">
        <v>25</v>
      </c>
      <c r="C98">
        <v>5</v>
      </c>
      <c r="D98">
        <v>50</v>
      </c>
      <c r="E98">
        <v>0</v>
      </c>
      <c r="F98">
        <v>0</v>
      </c>
      <c r="G98" t="s">
        <v>18</v>
      </c>
      <c r="H98" t="s">
        <v>22</v>
      </c>
      <c r="I98">
        <v>1.1246063877642799E-2</v>
      </c>
      <c r="J98" s="2">
        <f>RANK(I98,$I$2:$I$245)</f>
        <v>97</v>
      </c>
      <c r="K98">
        <v>1</v>
      </c>
      <c r="L98">
        <v>1.8</v>
      </c>
      <c r="M98" s="2">
        <f>I98/(L98+0.0001)</f>
        <v>6.247466183902449E-3</v>
      </c>
      <c r="N98" s="2">
        <f>RANK(M98,$M$2:$M$245)</f>
        <v>44</v>
      </c>
      <c r="O98">
        <f>I98*EXP(-0.01*L98)</f>
        <v>1.1045445708033046E-2</v>
      </c>
      <c r="P98" s="2">
        <f>RANK(O98,$O$2:$O$245)</f>
        <v>48</v>
      </c>
    </row>
    <row r="99" spans="1:16" x14ac:dyDescent="0.2">
      <c r="A99" t="s">
        <v>26</v>
      </c>
      <c r="B99" t="s">
        <v>24</v>
      </c>
      <c r="C99">
        <v>1</v>
      </c>
      <c r="D99">
        <v>25</v>
      </c>
      <c r="E99">
        <v>0</v>
      </c>
      <c r="F99">
        <v>0</v>
      </c>
      <c r="G99" t="s">
        <v>23</v>
      </c>
      <c r="H99" t="s">
        <v>22</v>
      </c>
      <c r="I99">
        <v>1.12384805574286E-2</v>
      </c>
      <c r="J99" s="2">
        <f>RANK(I99,$I$2:$I$245)</f>
        <v>98</v>
      </c>
      <c r="K99">
        <v>1</v>
      </c>
      <c r="L99">
        <v>2.1800000000000002</v>
      </c>
      <c r="M99" s="2">
        <f>I99/(L99+0.0001)</f>
        <v>5.1550298414882794E-3</v>
      </c>
      <c r="N99" s="2">
        <f>RANK(M99,$M$2:$M$245)</f>
        <v>85</v>
      </c>
      <c r="O99" s="2">
        <v>9.0371481419033207E-3</v>
      </c>
      <c r="P99" s="2">
        <f>RANK(O99,$O$2:$O$245)</f>
        <v>148</v>
      </c>
    </row>
    <row r="100" spans="1:16" x14ac:dyDescent="0.2">
      <c r="A100" t="s">
        <v>26</v>
      </c>
      <c r="B100" t="s">
        <v>24</v>
      </c>
      <c r="C100">
        <v>1</v>
      </c>
      <c r="D100">
        <v>12</v>
      </c>
      <c r="E100">
        <v>1</v>
      </c>
      <c r="F100">
        <v>12</v>
      </c>
      <c r="G100" t="s">
        <v>18</v>
      </c>
      <c r="H100" t="s">
        <v>19</v>
      </c>
      <c r="I100">
        <v>1.12303929490528E-2</v>
      </c>
      <c r="J100" s="2">
        <f>RANK(I100,$I$2:$I$245)</f>
        <v>99</v>
      </c>
      <c r="K100">
        <v>1</v>
      </c>
      <c r="L100">
        <v>2.68</v>
      </c>
      <c r="M100" s="2">
        <f>I100/(L100+0.0001)</f>
        <v>4.1902887761847687E-3</v>
      </c>
      <c r="N100" s="2">
        <f>RANK(M100,$M$2:$M$245)</f>
        <v>110</v>
      </c>
      <c r="O100" s="2">
        <f>I100*EXP(-0.01*L100)</f>
        <v>1.0933415688180091E-2</v>
      </c>
      <c r="P100" s="2">
        <f>RANK(O100,$O$2:$O$245)</f>
        <v>59</v>
      </c>
    </row>
    <row r="101" spans="1:16" x14ac:dyDescent="0.2">
      <c r="A101" t="s">
        <v>26</v>
      </c>
      <c r="B101" t="s">
        <v>24</v>
      </c>
      <c r="C101">
        <v>5</v>
      </c>
      <c r="D101">
        <v>37</v>
      </c>
      <c r="E101">
        <v>5</v>
      </c>
      <c r="F101">
        <v>37</v>
      </c>
      <c r="G101" t="s">
        <v>18</v>
      </c>
      <c r="H101" t="s">
        <v>19</v>
      </c>
      <c r="I101">
        <v>1.12290682651688E-2</v>
      </c>
      <c r="J101" s="2">
        <f>RANK(I101,$I$2:$I$245)</f>
        <v>100</v>
      </c>
      <c r="K101">
        <v>1</v>
      </c>
      <c r="L101">
        <v>2.58</v>
      </c>
      <c r="M101" s="2">
        <f>I101/(L101+0.0001)</f>
        <v>4.3521833514859106E-3</v>
      </c>
      <c r="N101" s="2">
        <f>RANK(M101,$M$2:$M$245)</f>
        <v>107</v>
      </c>
      <c r="O101">
        <f>I101*EXP(-0.01*L101)</f>
        <v>1.0943063628244973E-2</v>
      </c>
      <c r="P101" s="2">
        <f>RANK(O101,$O$2:$O$245)</f>
        <v>58</v>
      </c>
    </row>
    <row r="102" spans="1:16" x14ac:dyDescent="0.2">
      <c r="A102" t="s">
        <v>26</v>
      </c>
      <c r="B102" t="s">
        <v>24</v>
      </c>
      <c r="C102">
        <v>2</v>
      </c>
      <c r="D102">
        <v>50</v>
      </c>
      <c r="E102">
        <v>0</v>
      </c>
      <c r="F102">
        <v>0</v>
      </c>
      <c r="G102" t="s">
        <v>23</v>
      </c>
      <c r="H102" t="s">
        <v>22</v>
      </c>
      <c r="I102">
        <v>1.12233445566779E-2</v>
      </c>
      <c r="J102" s="2">
        <f>RANK(I102,$I$2:$I$245)</f>
        <v>101</v>
      </c>
      <c r="K102">
        <v>1</v>
      </c>
      <c r="L102">
        <v>2.1</v>
      </c>
      <c r="M102" s="2">
        <f>I102/(L102+0.0001)</f>
        <v>5.3441953034035986E-3</v>
      </c>
      <c r="N102" s="2">
        <f>RANK(M102,$M$2:$M$245)</f>
        <v>77</v>
      </c>
      <c r="O102" s="2">
        <v>9.0974662847383599E-3</v>
      </c>
      <c r="P102" s="2">
        <f>RANK(O102,$O$2:$O$245)</f>
        <v>142</v>
      </c>
    </row>
    <row r="103" spans="1:16" x14ac:dyDescent="0.2">
      <c r="A103" t="s">
        <v>26</v>
      </c>
      <c r="B103" t="s">
        <v>25</v>
      </c>
      <c r="C103">
        <v>2</v>
      </c>
      <c r="D103">
        <v>25</v>
      </c>
      <c r="E103">
        <v>0</v>
      </c>
      <c r="F103">
        <v>0</v>
      </c>
      <c r="G103" t="s">
        <v>18</v>
      </c>
      <c r="H103" t="s">
        <v>19</v>
      </c>
      <c r="I103">
        <v>1.1210787289497001E-2</v>
      </c>
      <c r="J103" s="2">
        <f>RANK(I103,$I$2:$I$245)</f>
        <v>102</v>
      </c>
      <c r="K103">
        <v>1</v>
      </c>
      <c r="L103">
        <v>1.58</v>
      </c>
      <c r="M103" s="2">
        <f>I103/(L103+0.0001)</f>
        <v>7.0949859436092652E-3</v>
      </c>
      <c r="N103" s="2">
        <f>RANK(M103,$M$2:$M$245)</f>
        <v>25</v>
      </c>
      <c r="O103" s="2">
        <f>I103*EXP(-0.01*L103)</f>
        <v>1.1035048840004273E-2</v>
      </c>
      <c r="P103" s="2">
        <f>RANK(O103,$O$2:$O$245)</f>
        <v>51</v>
      </c>
    </row>
    <row r="104" spans="1:16" x14ac:dyDescent="0.2">
      <c r="A104" t="s">
        <v>26</v>
      </c>
      <c r="B104" t="s">
        <v>24</v>
      </c>
      <c r="C104">
        <v>5</v>
      </c>
      <c r="D104">
        <v>50</v>
      </c>
      <c r="E104">
        <v>0</v>
      </c>
      <c r="F104">
        <v>0</v>
      </c>
      <c r="G104" t="s">
        <v>18</v>
      </c>
      <c r="H104" t="s">
        <v>22</v>
      </c>
      <c r="I104">
        <v>1.1208249271463799E-2</v>
      </c>
      <c r="J104" s="2">
        <f>RANK(I104,$I$2:$I$245)</f>
        <v>103</v>
      </c>
      <c r="K104">
        <v>1</v>
      </c>
      <c r="L104">
        <v>1.48</v>
      </c>
      <c r="M104" s="2">
        <f>I104/(L104+0.0001)</f>
        <v>7.5726297354663874E-3</v>
      </c>
      <c r="N104" s="2">
        <f>RANK(M104,$M$2:$M$245)</f>
        <v>15</v>
      </c>
      <c r="O104" s="2">
        <f>I104*EXP(-0.01*L104)</f>
        <v>1.1043588676244517E-2</v>
      </c>
      <c r="P104" s="2">
        <f>RANK(O104,$O$2:$O$245)</f>
        <v>49</v>
      </c>
    </row>
    <row r="105" spans="1:16" x14ac:dyDescent="0.2">
      <c r="A105" t="s">
        <v>26</v>
      </c>
      <c r="B105" t="s">
        <v>24</v>
      </c>
      <c r="C105">
        <v>2</v>
      </c>
      <c r="D105">
        <v>25</v>
      </c>
      <c r="E105">
        <v>2</v>
      </c>
      <c r="F105">
        <v>25</v>
      </c>
      <c r="G105" t="s">
        <v>18</v>
      </c>
      <c r="H105" t="s">
        <v>22</v>
      </c>
      <c r="I105">
        <v>1.12057373375168E-2</v>
      </c>
      <c r="J105" s="2">
        <f>RANK(I105,$I$2:$I$245)</f>
        <v>104</v>
      </c>
      <c r="K105">
        <v>1</v>
      </c>
      <c r="L105">
        <v>2.9</v>
      </c>
      <c r="M105" s="2">
        <f>I105/(L105+0.0001)</f>
        <v>3.8639141193465049E-3</v>
      </c>
      <c r="N105" s="2">
        <f>RANK(M105,$M$2:$M$245)</f>
        <v>125</v>
      </c>
      <c r="O105" s="2">
        <f>I105*EXP(-0.01*L105)</f>
        <v>1.0885437746151994E-2</v>
      </c>
      <c r="P105" s="2">
        <f>RANK(O105,$O$2:$O$245)</f>
        <v>62</v>
      </c>
    </row>
    <row r="106" spans="1:16" x14ac:dyDescent="0.2">
      <c r="A106" t="s">
        <v>26</v>
      </c>
      <c r="B106" t="s">
        <v>25</v>
      </c>
      <c r="C106">
        <v>5</v>
      </c>
      <c r="D106">
        <v>75</v>
      </c>
      <c r="E106">
        <v>0</v>
      </c>
      <c r="F106">
        <v>0</v>
      </c>
      <c r="G106" t="s">
        <v>23</v>
      </c>
      <c r="H106" t="s">
        <v>22</v>
      </c>
      <c r="I106">
        <v>1.11781801922647E-2</v>
      </c>
      <c r="J106" s="2">
        <f>RANK(I106,$I$2:$I$245)</f>
        <v>105</v>
      </c>
      <c r="K106">
        <v>1</v>
      </c>
      <c r="L106">
        <v>2.44</v>
      </c>
      <c r="M106" s="2">
        <f>I106/(L106+0.0001)</f>
        <v>4.5810336429919669E-3</v>
      </c>
      <c r="N106" s="2">
        <f>RANK(M106,$M$2:$M$245)</f>
        <v>104</v>
      </c>
      <c r="O106">
        <v>8.7579659542014604E-3</v>
      </c>
      <c r="P106" s="2">
        <f>RANK(O106,$O$2:$O$245)</f>
        <v>163</v>
      </c>
    </row>
    <row r="107" spans="1:16" x14ac:dyDescent="0.2">
      <c r="A107" t="s">
        <v>26</v>
      </c>
      <c r="B107" t="s">
        <v>25</v>
      </c>
      <c r="C107">
        <v>1</v>
      </c>
      <c r="D107">
        <v>25</v>
      </c>
      <c r="E107">
        <v>0</v>
      </c>
      <c r="F107">
        <v>0</v>
      </c>
      <c r="G107" t="s">
        <v>23</v>
      </c>
      <c r="H107" t="s">
        <v>19</v>
      </c>
      <c r="I107">
        <v>1.11695905422875E-2</v>
      </c>
      <c r="J107" s="2">
        <f>RANK(I107,$I$2:$I$245)</f>
        <v>106</v>
      </c>
      <c r="K107">
        <v>1</v>
      </c>
      <c r="L107">
        <v>2.2200000000000002</v>
      </c>
      <c r="M107" s="2">
        <f>I107/(L107+0.0001)</f>
        <v>5.0311204640725634E-3</v>
      </c>
      <c r="N107" s="2">
        <f>RANK(M107,$M$2:$M$245)</f>
        <v>92</v>
      </c>
      <c r="O107">
        <v>8.9458966786451592E-3</v>
      </c>
      <c r="P107" s="2">
        <f>RANK(O107,$O$2:$O$245)</f>
        <v>154</v>
      </c>
    </row>
    <row r="108" spans="1:16" x14ac:dyDescent="0.2">
      <c r="A108" t="s">
        <v>26</v>
      </c>
      <c r="B108" t="s">
        <v>24</v>
      </c>
      <c r="C108">
        <v>2</v>
      </c>
      <c r="D108">
        <v>25</v>
      </c>
      <c r="E108">
        <v>0</v>
      </c>
      <c r="F108">
        <v>0</v>
      </c>
      <c r="G108" t="s">
        <v>18</v>
      </c>
      <c r="H108" t="s">
        <v>19</v>
      </c>
      <c r="I108">
        <v>1.11620861050704E-2</v>
      </c>
      <c r="J108" s="2">
        <f>RANK(I108,$I$2:$I$245)</f>
        <v>107</v>
      </c>
      <c r="K108">
        <v>1</v>
      </c>
      <c r="L108">
        <v>1.34</v>
      </c>
      <c r="M108" s="2">
        <f>I108/(L108+0.0001)</f>
        <v>8.3292934147230803E-3</v>
      </c>
      <c r="N108" s="2">
        <f>RANK(M108,$M$2:$M$245)</f>
        <v>9</v>
      </c>
      <c r="O108">
        <f>I108*EXP(-0.01*L108)</f>
        <v>1.1013511822118105E-2</v>
      </c>
      <c r="P108" s="2">
        <f>RANK(O108,$O$2:$O$245)</f>
        <v>54</v>
      </c>
    </row>
    <row r="109" spans="1:16" x14ac:dyDescent="0.2">
      <c r="A109" t="s">
        <v>26</v>
      </c>
      <c r="B109" t="s">
        <v>25</v>
      </c>
      <c r="C109">
        <v>2</v>
      </c>
      <c r="D109">
        <v>37</v>
      </c>
      <c r="E109">
        <v>2</v>
      </c>
      <c r="F109">
        <v>37</v>
      </c>
      <c r="G109" t="s">
        <v>23</v>
      </c>
      <c r="H109" t="s">
        <v>22</v>
      </c>
      <c r="I109">
        <v>1.11607142857143E-2</v>
      </c>
      <c r="J109" s="2">
        <f>RANK(I109,$I$2:$I$245)</f>
        <v>108</v>
      </c>
      <c r="K109">
        <v>1</v>
      </c>
      <c r="L109">
        <v>3.82</v>
      </c>
      <c r="M109" s="2">
        <f>I109/(L109+0.0001)</f>
        <v>2.9215764733159602E-3</v>
      </c>
      <c r="N109" s="2">
        <f>RANK(M109,$M$2:$M$245)</f>
        <v>186</v>
      </c>
      <c r="O109">
        <v>7.6171322902387397E-3</v>
      </c>
      <c r="P109" s="2">
        <f>RANK(O109,$O$2:$O$245)</f>
        <v>204</v>
      </c>
    </row>
    <row r="110" spans="1:16" x14ac:dyDescent="0.2">
      <c r="A110" t="s">
        <v>26</v>
      </c>
      <c r="B110" t="s">
        <v>24</v>
      </c>
      <c r="C110">
        <v>1</v>
      </c>
      <c r="D110">
        <v>25</v>
      </c>
      <c r="E110">
        <v>0</v>
      </c>
      <c r="F110">
        <v>0</v>
      </c>
      <c r="G110" t="s">
        <v>23</v>
      </c>
      <c r="H110" t="s">
        <v>19</v>
      </c>
      <c r="I110">
        <v>1.11604260678057E-2</v>
      </c>
      <c r="J110" s="2">
        <f>RANK(I110,$I$2:$I$245)</f>
        <v>109</v>
      </c>
      <c r="K110">
        <v>1</v>
      </c>
      <c r="L110">
        <v>1.92</v>
      </c>
      <c r="M110" s="2">
        <f>I110/(L110+0.0001)</f>
        <v>5.8124191801498361E-3</v>
      </c>
      <c r="N110" s="2">
        <f>RANK(M110,$M$2:$M$245)</f>
        <v>62</v>
      </c>
      <c r="O110">
        <v>9.2107762890536599E-3</v>
      </c>
      <c r="P110" s="2">
        <f>RANK(O110,$O$2:$O$245)</f>
        <v>137</v>
      </c>
    </row>
    <row r="111" spans="1:16" x14ac:dyDescent="0.2">
      <c r="A111" t="s">
        <v>26</v>
      </c>
      <c r="B111" t="s">
        <v>25</v>
      </c>
      <c r="C111">
        <v>5</v>
      </c>
      <c r="D111">
        <v>50</v>
      </c>
      <c r="E111">
        <v>5</v>
      </c>
      <c r="F111">
        <v>50</v>
      </c>
      <c r="G111" t="s">
        <v>18</v>
      </c>
      <c r="H111" t="s">
        <v>22</v>
      </c>
      <c r="I111">
        <v>1.11557340473003E-2</v>
      </c>
      <c r="J111" s="2">
        <f>RANK(I111,$I$2:$I$245)</f>
        <v>110</v>
      </c>
      <c r="K111">
        <v>1</v>
      </c>
      <c r="L111">
        <v>3.06</v>
      </c>
      <c r="M111" s="2">
        <f>I111/(L111+0.0001)</f>
        <v>3.6455455858633045E-3</v>
      </c>
      <c r="N111" s="2">
        <f>RANK(M111,$M$2:$M$245)</f>
        <v>141</v>
      </c>
      <c r="O111">
        <f>I111*EXP(-0.01*L111)</f>
        <v>1.0819538608585935E-2</v>
      </c>
      <c r="P111" s="2">
        <f>RANK(O111,$O$2:$O$245)</f>
        <v>68</v>
      </c>
    </row>
    <row r="112" spans="1:16" x14ac:dyDescent="0.2">
      <c r="A112" t="s">
        <v>26</v>
      </c>
      <c r="B112" t="s">
        <v>25</v>
      </c>
      <c r="C112">
        <v>2</v>
      </c>
      <c r="D112">
        <v>25</v>
      </c>
      <c r="E112">
        <v>2</v>
      </c>
      <c r="F112">
        <v>25</v>
      </c>
      <c r="G112" t="s">
        <v>18</v>
      </c>
      <c r="H112" t="s">
        <v>19</v>
      </c>
      <c r="I112">
        <v>1.1153523173683901E-2</v>
      </c>
      <c r="J112" s="2">
        <f>RANK(I112,$I$2:$I$245)</f>
        <v>111</v>
      </c>
      <c r="K112">
        <v>1</v>
      </c>
      <c r="L112">
        <v>2.82</v>
      </c>
      <c r="M112" s="2">
        <f>I112/(L112+0.0001)</f>
        <v>3.9550098130151064E-3</v>
      </c>
      <c r="N112" s="2">
        <f>RANK(M112,$M$2:$M$245)</f>
        <v>116</v>
      </c>
      <c r="O112">
        <f>I112*EXP(-0.01*L112)</f>
        <v>1.0843387288598424E-2</v>
      </c>
      <c r="P112" s="2">
        <f>RANK(O112,$O$2:$O$245)</f>
        <v>65</v>
      </c>
    </row>
    <row r="113" spans="1:16" x14ac:dyDescent="0.2">
      <c r="A113" t="s">
        <v>26</v>
      </c>
      <c r="B113" t="s">
        <v>25</v>
      </c>
      <c r="C113">
        <v>5</v>
      </c>
      <c r="D113">
        <v>50</v>
      </c>
      <c r="E113">
        <v>0</v>
      </c>
      <c r="F113">
        <v>0</v>
      </c>
      <c r="G113" t="s">
        <v>18</v>
      </c>
      <c r="H113" t="s">
        <v>19</v>
      </c>
      <c r="I113">
        <v>1.1141276442804099E-2</v>
      </c>
      <c r="J113" s="2">
        <f>RANK(I113,$I$2:$I$245)</f>
        <v>112</v>
      </c>
      <c r="K113">
        <v>1</v>
      </c>
      <c r="L113">
        <v>1.58</v>
      </c>
      <c r="M113" s="2">
        <f>I113/(L113+0.0001)</f>
        <v>7.0509945211088528E-3</v>
      </c>
      <c r="N113" s="2">
        <f>RANK(M113,$M$2:$M$245)</f>
        <v>26</v>
      </c>
      <c r="O113">
        <f>I113*EXP(-0.01*L113)</f>
        <v>1.0966627633860719E-2</v>
      </c>
      <c r="P113" s="2">
        <f>RANK(O113,$O$2:$O$245)</f>
        <v>55</v>
      </c>
    </row>
    <row r="114" spans="1:16" x14ac:dyDescent="0.2">
      <c r="A114" t="s">
        <v>26</v>
      </c>
      <c r="B114" t="s">
        <v>24</v>
      </c>
      <c r="C114">
        <v>2</v>
      </c>
      <c r="D114">
        <v>25</v>
      </c>
      <c r="E114">
        <v>2</v>
      </c>
      <c r="F114">
        <v>25</v>
      </c>
      <c r="G114" t="s">
        <v>18</v>
      </c>
      <c r="H114" t="s">
        <v>19</v>
      </c>
      <c r="I114">
        <v>1.1128575192586299E-2</v>
      </c>
      <c r="J114" s="2">
        <f>RANK(I114,$I$2:$I$245)</f>
        <v>113</v>
      </c>
      <c r="K114">
        <v>1</v>
      </c>
      <c r="L114">
        <v>2.7</v>
      </c>
      <c r="M114" s="2">
        <f>I114/(L114+0.0001)</f>
        <v>4.1215418660739593E-3</v>
      </c>
      <c r="N114" s="2">
        <f>RANK(M114,$M$2:$M$245)</f>
        <v>112</v>
      </c>
      <c r="O114">
        <f>I114*EXP(-0.01*L114)</f>
        <v>1.0832123765852736E-2</v>
      </c>
      <c r="P114" s="2">
        <f>RANK(O114,$O$2:$O$245)</f>
        <v>66</v>
      </c>
    </row>
    <row r="115" spans="1:16" x14ac:dyDescent="0.2">
      <c r="A115" t="s">
        <v>26</v>
      </c>
      <c r="B115" t="s">
        <v>24</v>
      </c>
      <c r="C115">
        <v>5</v>
      </c>
      <c r="D115">
        <v>50</v>
      </c>
      <c r="E115">
        <v>5</v>
      </c>
      <c r="F115">
        <v>50</v>
      </c>
      <c r="G115" t="s">
        <v>18</v>
      </c>
      <c r="H115" t="s">
        <v>22</v>
      </c>
      <c r="I115">
        <v>1.11284219897619E-2</v>
      </c>
      <c r="J115" s="2">
        <f>RANK(I115,$I$2:$I$245)</f>
        <v>114</v>
      </c>
      <c r="K115">
        <v>1</v>
      </c>
      <c r="L115">
        <v>2.86</v>
      </c>
      <c r="M115" s="2">
        <f>I115/(L115+0.0001)</f>
        <v>3.8909205936022867E-3</v>
      </c>
      <c r="N115" s="2">
        <f>RANK(M115,$M$2:$M$245)</f>
        <v>122</v>
      </c>
      <c r="O115">
        <f>I115*EXP(-0.01*L115)</f>
        <v>1.0814657342266588E-2</v>
      </c>
      <c r="P115" s="2">
        <f>RANK(O115,$O$2:$O$245)</f>
        <v>69</v>
      </c>
    </row>
    <row r="116" spans="1:16" x14ac:dyDescent="0.2">
      <c r="A116" t="s">
        <v>26</v>
      </c>
      <c r="B116" t="s">
        <v>24</v>
      </c>
      <c r="C116">
        <v>2</v>
      </c>
      <c r="D116">
        <v>37</v>
      </c>
      <c r="E116">
        <v>2</v>
      </c>
      <c r="F116">
        <v>37</v>
      </c>
      <c r="G116" t="s">
        <v>23</v>
      </c>
      <c r="H116" t="s">
        <v>22</v>
      </c>
      <c r="I116">
        <v>1.11209964412811E-2</v>
      </c>
      <c r="J116" s="2">
        <f>RANK(I116,$I$2:$I$245)</f>
        <v>115</v>
      </c>
      <c r="K116">
        <v>1</v>
      </c>
      <c r="L116">
        <v>3.42</v>
      </c>
      <c r="M116" s="2">
        <f>I116/(L116+0.0001)</f>
        <v>3.2516582676767052E-3</v>
      </c>
      <c r="N116" s="2">
        <f>RANK(M116,$M$2:$M$245)</f>
        <v>172</v>
      </c>
      <c r="O116">
        <v>7.8997798566411807E-3</v>
      </c>
      <c r="P116" s="2">
        <f>RANK(O116,$O$2:$O$245)</f>
        <v>190</v>
      </c>
    </row>
    <row r="117" spans="1:16" x14ac:dyDescent="0.2">
      <c r="A117" t="s">
        <v>26</v>
      </c>
      <c r="B117" t="s">
        <v>25</v>
      </c>
      <c r="C117">
        <v>2</v>
      </c>
      <c r="D117">
        <v>50</v>
      </c>
      <c r="E117">
        <v>0</v>
      </c>
      <c r="F117">
        <v>0</v>
      </c>
      <c r="G117" t="s">
        <v>23</v>
      </c>
      <c r="H117" t="s">
        <v>22</v>
      </c>
      <c r="I117">
        <v>1.11185234600845E-2</v>
      </c>
      <c r="J117" s="2">
        <f>RANK(I117,$I$2:$I$245)</f>
        <v>116</v>
      </c>
      <c r="K117">
        <v>1</v>
      </c>
      <c r="L117">
        <v>2.44</v>
      </c>
      <c r="M117" s="2">
        <f>I117/(L117+0.0001)</f>
        <v>4.5565851645770665E-3</v>
      </c>
      <c r="N117" s="2">
        <f>RANK(M117,$M$2:$M$245)</f>
        <v>105</v>
      </c>
      <c r="O117" s="2">
        <v>8.7112256422377399E-3</v>
      </c>
      <c r="P117" s="2">
        <f>RANK(O117,$O$2:$O$245)</f>
        <v>166</v>
      </c>
    </row>
    <row r="118" spans="1:16" x14ac:dyDescent="0.2">
      <c r="A118" t="s">
        <v>26</v>
      </c>
      <c r="B118" t="s">
        <v>24</v>
      </c>
      <c r="C118">
        <v>2</v>
      </c>
      <c r="D118">
        <v>50</v>
      </c>
      <c r="E118">
        <v>0</v>
      </c>
      <c r="F118">
        <v>0</v>
      </c>
      <c r="G118" t="s">
        <v>23</v>
      </c>
      <c r="H118" t="s">
        <v>19</v>
      </c>
      <c r="I118">
        <v>1.11182553232237E-2</v>
      </c>
      <c r="J118" s="2">
        <f>RANK(I118,$I$2:$I$245)</f>
        <v>117</v>
      </c>
      <c r="K118">
        <v>1</v>
      </c>
      <c r="L118">
        <v>1.82</v>
      </c>
      <c r="M118" s="2">
        <f>I118/(L118+0.0001)</f>
        <v>6.1085958591416403E-3</v>
      </c>
      <c r="N118" s="2">
        <f>RANK(M118,$M$2:$M$245)</f>
        <v>49</v>
      </c>
      <c r="O118">
        <v>9.2681925405236603E-3</v>
      </c>
      <c r="P118" s="2">
        <f>RANK(O118,$O$2:$O$245)</f>
        <v>134</v>
      </c>
    </row>
    <row r="119" spans="1:16" x14ac:dyDescent="0.2">
      <c r="A119" t="s">
        <v>26</v>
      </c>
      <c r="B119" t="s">
        <v>25</v>
      </c>
      <c r="C119">
        <v>1</v>
      </c>
      <c r="D119">
        <v>25</v>
      </c>
      <c r="E119">
        <v>1</v>
      </c>
      <c r="F119">
        <v>25</v>
      </c>
      <c r="G119" t="s">
        <v>23</v>
      </c>
      <c r="H119" t="s">
        <v>22</v>
      </c>
      <c r="I119">
        <v>1.1101243339254E-2</v>
      </c>
      <c r="J119" s="2">
        <f>RANK(I119,$I$2:$I$245)</f>
        <v>118</v>
      </c>
      <c r="K119">
        <v>1</v>
      </c>
      <c r="L119">
        <v>3.88</v>
      </c>
      <c r="M119" s="2">
        <f>I119/(L119+0.0001)</f>
        <v>2.8610714515744438E-3</v>
      </c>
      <c r="N119" s="2">
        <f>RANK(M119,$M$2:$M$245)</f>
        <v>187</v>
      </c>
      <c r="O119">
        <v>7.53122050692833E-3</v>
      </c>
      <c r="P119" s="2">
        <f>RANK(O119,$O$2:$O$245)</f>
        <v>205</v>
      </c>
    </row>
    <row r="120" spans="1:16" x14ac:dyDescent="0.2">
      <c r="A120" t="s">
        <v>26</v>
      </c>
      <c r="B120" t="s">
        <v>25</v>
      </c>
      <c r="C120">
        <v>2</v>
      </c>
      <c r="D120">
        <v>37</v>
      </c>
      <c r="E120">
        <v>2</v>
      </c>
      <c r="F120">
        <v>37</v>
      </c>
      <c r="G120" t="s">
        <v>23</v>
      </c>
      <c r="H120" t="s">
        <v>19</v>
      </c>
      <c r="I120">
        <v>1.10914173192697E-2</v>
      </c>
      <c r="J120" s="2">
        <f>RANK(I120,$I$2:$I$245)</f>
        <v>119</v>
      </c>
      <c r="K120">
        <v>1</v>
      </c>
      <c r="L120">
        <v>3.44</v>
      </c>
      <c r="M120" s="2">
        <f>I120/(L120+0.0001)</f>
        <v>3.2241554952674922E-3</v>
      </c>
      <c r="N120" s="2">
        <f>RANK(M120,$M$2:$M$245)</f>
        <v>173</v>
      </c>
      <c r="O120">
        <v>7.8630265906996493E-3</v>
      </c>
      <c r="P120" s="2">
        <f>RANK(O120,$O$2:$O$245)</f>
        <v>191</v>
      </c>
    </row>
    <row r="121" spans="1:16" x14ac:dyDescent="0.2">
      <c r="A121" t="s">
        <v>26</v>
      </c>
      <c r="B121" t="s">
        <v>24</v>
      </c>
      <c r="C121">
        <v>1</v>
      </c>
      <c r="D121">
        <v>25</v>
      </c>
      <c r="E121">
        <v>1</v>
      </c>
      <c r="F121">
        <v>25</v>
      </c>
      <c r="G121" t="s">
        <v>23</v>
      </c>
      <c r="H121" t="s">
        <v>22</v>
      </c>
      <c r="I121">
        <v>1.10889332446219E-2</v>
      </c>
      <c r="J121" s="2">
        <f>RANK(I121,$I$2:$I$245)</f>
        <v>120</v>
      </c>
      <c r="K121">
        <v>1</v>
      </c>
      <c r="L121">
        <v>3.34</v>
      </c>
      <c r="M121" s="2">
        <f>I121/(L121+0.0001)</f>
        <v>3.3199404941833778E-3</v>
      </c>
      <c r="N121" s="2">
        <f>RANK(M121,$M$2:$M$245)</f>
        <v>164</v>
      </c>
      <c r="O121">
        <v>7.9402725906765406E-3</v>
      </c>
      <c r="P121" s="2">
        <f>RANK(O121,$O$2:$O$245)</f>
        <v>188</v>
      </c>
    </row>
    <row r="122" spans="1:16" x14ac:dyDescent="0.2">
      <c r="A122" t="s">
        <v>26</v>
      </c>
      <c r="B122" t="s">
        <v>24</v>
      </c>
      <c r="C122">
        <v>2</v>
      </c>
      <c r="D122">
        <v>75</v>
      </c>
      <c r="E122">
        <v>0</v>
      </c>
      <c r="F122">
        <v>0</v>
      </c>
      <c r="G122" t="s">
        <v>23</v>
      </c>
      <c r="H122" t="s">
        <v>22</v>
      </c>
      <c r="I122">
        <v>1.10864745011086E-2</v>
      </c>
      <c r="J122" s="2">
        <f>RANK(I122,$I$2:$I$245)</f>
        <v>121</v>
      </c>
      <c r="K122">
        <v>1</v>
      </c>
      <c r="L122">
        <v>2.04</v>
      </c>
      <c r="M122" s="2">
        <f>I122/(L122+0.0001)</f>
        <v>5.4342799378013819E-3</v>
      </c>
      <c r="N122" s="2">
        <f>RANK(M122,$M$2:$M$245)</f>
        <v>72</v>
      </c>
      <c r="O122" s="2">
        <v>9.0406027847814794E-3</v>
      </c>
      <c r="P122" s="2">
        <f>RANK(O122,$O$2:$O$245)</f>
        <v>146</v>
      </c>
    </row>
    <row r="123" spans="1:16" x14ac:dyDescent="0.2">
      <c r="A123" t="s">
        <v>26</v>
      </c>
      <c r="B123" t="s">
        <v>24</v>
      </c>
      <c r="C123">
        <v>2</v>
      </c>
      <c r="D123">
        <v>100</v>
      </c>
      <c r="E123">
        <v>0</v>
      </c>
      <c r="F123">
        <v>0</v>
      </c>
      <c r="G123" t="s">
        <v>23</v>
      </c>
      <c r="H123" t="s">
        <v>22</v>
      </c>
      <c r="I123">
        <v>1.10864745011086E-2</v>
      </c>
      <c r="J123" s="2">
        <f>RANK(I123,$I$2:$I$245)</f>
        <v>121</v>
      </c>
      <c r="K123">
        <v>1</v>
      </c>
      <c r="L123">
        <v>2.04</v>
      </c>
      <c r="M123" s="2">
        <f>I123/(L123+0.0001)</f>
        <v>5.4342799378013819E-3</v>
      </c>
      <c r="N123" s="2">
        <f>RANK(M123,$M$2:$M$245)</f>
        <v>72</v>
      </c>
      <c r="O123" s="2">
        <v>9.0406027847814794E-3</v>
      </c>
      <c r="P123" s="2">
        <f>RANK(O123,$O$2:$O$245)</f>
        <v>146</v>
      </c>
    </row>
    <row r="124" spans="1:16" x14ac:dyDescent="0.2">
      <c r="A124" t="s">
        <v>26</v>
      </c>
      <c r="B124" t="s">
        <v>25</v>
      </c>
      <c r="C124">
        <v>5</v>
      </c>
      <c r="D124">
        <v>50</v>
      </c>
      <c r="E124">
        <v>5</v>
      </c>
      <c r="F124">
        <v>50</v>
      </c>
      <c r="G124" t="s">
        <v>18</v>
      </c>
      <c r="H124" t="s">
        <v>19</v>
      </c>
      <c r="I124">
        <v>1.1084241763546601E-2</v>
      </c>
      <c r="J124" s="2">
        <f>RANK(I124,$I$2:$I$245)</f>
        <v>123</v>
      </c>
      <c r="K124">
        <v>1</v>
      </c>
      <c r="L124">
        <v>2.82</v>
      </c>
      <c r="M124" s="2">
        <f>I124/(L124+0.0001)</f>
        <v>3.930442808250275E-3</v>
      </c>
      <c r="N124" s="2">
        <f>RANK(M124,$M$2:$M$245)</f>
        <v>119</v>
      </c>
      <c r="O124" s="2">
        <f>I124*EXP(-0.01*L124)</f>
        <v>1.07760323236855E-2</v>
      </c>
      <c r="P124" s="2">
        <f>RANK(O124,$O$2:$O$245)</f>
        <v>74</v>
      </c>
    </row>
    <row r="125" spans="1:16" x14ac:dyDescent="0.2">
      <c r="A125" t="s">
        <v>26</v>
      </c>
      <c r="B125" t="s">
        <v>24</v>
      </c>
      <c r="C125">
        <v>5</v>
      </c>
      <c r="D125">
        <v>50</v>
      </c>
      <c r="E125">
        <v>0</v>
      </c>
      <c r="F125">
        <v>0</v>
      </c>
      <c r="G125" t="s">
        <v>18</v>
      </c>
      <c r="H125" t="s">
        <v>19</v>
      </c>
      <c r="I125">
        <v>1.1080044240174799E-2</v>
      </c>
      <c r="J125" s="2">
        <f>RANK(I125,$I$2:$I$245)</f>
        <v>124</v>
      </c>
      <c r="K125">
        <v>1</v>
      </c>
      <c r="L125">
        <v>1.34</v>
      </c>
      <c r="M125" s="2">
        <f>I125/(L125+0.0001)</f>
        <v>8.2680727111221538E-3</v>
      </c>
      <c r="N125" s="2">
        <f>RANK(M125,$M$2:$M$245)</f>
        <v>10</v>
      </c>
      <c r="O125">
        <f>I125*EXP(-0.01*L125)</f>
        <v>1.0932561985283763E-2</v>
      </c>
      <c r="P125" s="2">
        <f>RANK(O125,$O$2:$O$245)</f>
        <v>60</v>
      </c>
    </row>
    <row r="126" spans="1:16" x14ac:dyDescent="0.2">
      <c r="A126" t="s">
        <v>26</v>
      </c>
      <c r="B126" t="s">
        <v>25</v>
      </c>
      <c r="C126">
        <v>5</v>
      </c>
      <c r="D126">
        <v>75</v>
      </c>
      <c r="E126">
        <v>0</v>
      </c>
      <c r="F126">
        <v>0</v>
      </c>
      <c r="G126" t="s">
        <v>23</v>
      </c>
      <c r="H126" t="s">
        <v>19</v>
      </c>
      <c r="I126">
        <v>1.1064763676222901E-2</v>
      </c>
      <c r="J126" s="2">
        <f>RANK(I126,$I$2:$I$245)</f>
        <v>125</v>
      </c>
      <c r="K126">
        <v>1</v>
      </c>
      <c r="L126">
        <v>2.1</v>
      </c>
      <c r="M126" s="2">
        <f>I126/(L126+0.0001)</f>
        <v>5.2686841941921329E-3</v>
      </c>
      <c r="N126" s="2">
        <f>RANK(M126,$M$2:$M$245)</f>
        <v>80</v>
      </c>
      <c r="O126">
        <v>8.9689231213294605E-3</v>
      </c>
      <c r="P126" s="2">
        <f>RANK(O126,$O$2:$O$245)</f>
        <v>151</v>
      </c>
    </row>
    <row r="127" spans="1:16" x14ac:dyDescent="0.2">
      <c r="A127" t="s">
        <v>26</v>
      </c>
      <c r="B127" t="s">
        <v>24</v>
      </c>
      <c r="C127">
        <v>2</v>
      </c>
      <c r="D127">
        <v>37</v>
      </c>
      <c r="E127">
        <v>2</v>
      </c>
      <c r="F127">
        <v>37</v>
      </c>
      <c r="G127" t="s">
        <v>23</v>
      </c>
      <c r="H127" t="s">
        <v>19</v>
      </c>
      <c r="I127">
        <v>1.10579604961881E-2</v>
      </c>
      <c r="J127" s="2">
        <f>RANK(I127,$I$2:$I$245)</f>
        <v>126</v>
      </c>
      <c r="K127">
        <v>1</v>
      </c>
      <c r="L127">
        <v>3.08</v>
      </c>
      <c r="M127" s="2">
        <f>I127/(L127+0.0001)</f>
        <v>3.5901303516730296E-3</v>
      </c>
      <c r="N127" s="2">
        <f>RANK(M127,$M$2:$M$245)</f>
        <v>147</v>
      </c>
      <c r="O127" s="2">
        <v>8.1266645545877998E-3</v>
      </c>
      <c r="P127" s="2">
        <f>RANK(O127,$O$2:$O$245)</f>
        <v>181</v>
      </c>
    </row>
    <row r="128" spans="1:16" x14ac:dyDescent="0.2">
      <c r="A128" t="s">
        <v>26</v>
      </c>
      <c r="B128" t="s">
        <v>25</v>
      </c>
      <c r="C128">
        <v>1</v>
      </c>
      <c r="D128">
        <v>25</v>
      </c>
      <c r="E128">
        <v>0</v>
      </c>
      <c r="F128">
        <v>0</v>
      </c>
      <c r="G128" t="s">
        <v>18</v>
      </c>
      <c r="H128" t="s">
        <v>22</v>
      </c>
      <c r="I128">
        <v>1.1049723756906099E-2</v>
      </c>
      <c r="J128" s="2">
        <f>RANK(I128,$I$2:$I$245)</f>
        <v>127</v>
      </c>
      <c r="K128">
        <v>1</v>
      </c>
      <c r="L128">
        <v>1.88</v>
      </c>
      <c r="M128" s="2">
        <f>I128/(L128+0.0001)</f>
        <v>5.8772000196298602E-3</v>
      </c>
      <c r="N128" s="2">
        <f>RANK(M128,$M$2:$M$245)</f>
        <v>57</v>
      </c>
      <c r="O128" s="2">
        <f>I128*EXP(-0.01*L128)</f>
        <v>1.0843929477791735E-2</v>
      </c>
      <c r="P128" s="2">
        <f>RANK(O128,$O$2:$O$245)</f>
        <v>64</v>
      </c>
    </row>
    <row r="129" spans="1:16" x14ac:dyDescent="0.2">
      <c r="A129" t="s">
        <v>26</v>
      </c>
      <c r="B129" t="s">
        <v>24</v>
      </c>
      <c r="C129">
        <v>5</v>
      </c>
      <c r="D129">
        <v>50</v>
      </c>
      <c r="E129">
        <v>5</v>
      </c>
      <c r="F129">
        <v>50</v>
      </c>
      <c r="G129" t="s">
        <v>18</v>
      </c>
      <c r="H129" t="s">
        <v>19</v>
      </c>
      <c r="I129">
        <v>1.1046518832083199E-2</v>
      </c>
      <c r="J129" s="2">
        <f>RANK(I129,$I$2:$I$245)</f>
        <v>128</v>
      </c>
      <c r="K129">
        <v>1</v>
      </c>
      <c r="L129">
        <v>2.7</v>
      </c>
      <c r="M129" s="2">
        <f>I129/(L129+0.0001)</f>
        <v>4.0911517470031472E-3</v>
      </c>
      <c r="N129" s="2">
        <f>RANK(M129,$M$2:$M$245)</f>
        <v>113</v>
      </c>
      <c r="O129" s="2">
        <f>I129*EXP(-0.01*L129)</f>
        <v>1.0752253284918469E-2</v>
      </c>
      <c r="P129" s="2">
        <f>RANK(O129,$O$2:$O$245)</f>
        <v>77</v>
      </c>
    </row>
    <row r="130" spans="1:16" x14ac:dyDescent="0.2">
      <c r="A130" t="s">
        <v>26</v>
      </c>
      <c r="B130" t="s">
        <v>25</v>
      </c>
      <c r="C130">
        <v>1</v>
      </c>
      <c r="D130">
        <v>25</v>
      </c>
      <c r="E130">
        <v>1</v>
      </c>
      <c r="F130">
        <v>25</v>
      </c>
      <c r="G130" t="s">
        <v>23</v>
      </c>
      <c r="H130" t="s">
        <v>19</v>
      </c>
      <c r="I130">
        <v>1.1046166152697001E-2</v>
      </c>
      <c r="J130" s="2">
        <f>RANK(I130,$I$2:$I$245)</f>
        <v>129</v>
      </c>
      <c r="K130">
        <v>1</v>
      </c>
      <c r="L130">
        <v>3.48</v>
      </c>
      <c r="M130" s="2">
        <f>I130/(L130+0.0001)</f>
        <v>3.1740944664512515E-3</v>
      </c>
      <c r="N130" s="2">
        <f>RANK(M130,$M$2:$M$245)</f>
        <v>175</v>
      </c>
      <c r="O130" s="2">
        <v>7.7996855068967197E-3</v>
      </c>
      <c r="P130" s="2">
        <f>RANK(O130,$O$2:$O$245)</f>
        <v>198</v>
      </c>
    </row>
    <row r="131" spans="1:16" x14ac:dyDescent="0.2">
      <c r="A131" t="s">
        <v>26</v>
      </c>
      <c r="B131" t="s">
        <v>24</v>
      </c>
      <c r="C131">
        <v>1</v>
      </c>
      <c r="D131">
        <v>25</v>
      </c>
      <c r="E131">
        <v>1</v>
      </c>
      <c r="F131">
        <v>25</v>
      </c>
      <c r="G131" t="s">
        <v>23</v>
      </c>
      <c r="H131" t="s">
        <v>19</v>
      </c>
      <c r="I131">
        <v>1.1038485685421101E-2</v>
      </c>
      <c r="J131" s="2">
        <f>RANK(I131,$I$2:$I$245)</f>
        <v>130</v>
      </c>
      <c r="K131">
        <v>1</v>
      </c>
      <c r="L131">
        <v>3.02</v>
      </c>
      <c r="M131" s="2">
        <f>I131/(L131+0.0001)</f>
        <v>3.655006683692957E-3</v>
      </c>
      <c r="N131" s="2">
        <f>RANK(M131,$M$2:$M$245)</f>
        <v>139</v>
      </c>
      <c r="O131" s="2">
        <v>8.1611726459700305E-3</v>
      </c>
      <c r="P131" s="2">
        <f>RANK(O131,$O$2:$O$245)</f>
        <v>178</v>
      </c>
    </row>
    <row r="132" spans="1:16" x14ac:dyDescent="0.2">
      <c r="A132" t="s">
        <v>26</v>
      </c>
      <c r="B132" t="s">
        <v>24</v>
      </c>
      <c r="C132">
        <v>1</v>
      </c>
      <c r="D132">
        <v>25</v>
      </c>
      <c r="E132">
        <v>0</v>
      </c>
      <c r="F132">
        <v>0</v>
      </c>
      <c r="G132" t="s">
        <v>18</v>
      </c>
      <c r="H132" t="s">
        <v>22</v>
      </c>
      <c r="I132">
        <v>1.10326566637246E-2</v>
      </c>
      <c r="J132" s="2">
        <f>RANK(I132,$I$2:$I$245)</f>
        <v>131</v>
      </c>
      <c r="K132">
        <v>1</v>
      </c>
      <c r="L132">
        <v>1.58</v>
      </c>
      <c r="M132" s="2">
        <f>I132/(L132+0.0001)</f>
        <v>6.9822521762702358E-3</v>
      </c>
      <c r="N132" s="2">
        <f>RANK(M132,$M$2:$M$245)</f>
        <v>29</v>
      </c>
      <c r="O132" s="2">
        <f>I132*EXP(-0.01*L132)</f>
        <v>1.085971056049374E-2</v>
      </c>
      <c r="P132" s="2">
        <f>RANK(O132,$O$2:$O$245)</f>
        <v>63</v>
      </c>
    </row>
    <row r="133" spans="1:16" x14ac:dyDescent="0.2">
      <c r="A133" t="s">
        <v>26</v>
      </c>
      <c r="B133" t="s">
        <v>25</v>
      </c>
      <c r="C133">
        <v>2</v>
      </c>
      <c r="D133">
        <v>50</v>
      </c>
      <c r="E133">
        <v>0</v>
      </c>
      <c r="F133">
        <v>0</v>
      </c>
      <c r="G133" t="s">
        <v>23</v>
      </c>
      <c r="H133" t="s">
        <v>19</v>
      </c>
      <c r="I133">
        <v>1.1025061508966099E-2</v>
      </c>
      <c r="J133" s="2">
        <f>RANK(I133,$I$2:$I$245)</f>
        <v>132</v>
      </c>
      <c r="K133">
        <v>1</v>
      </c>
      <c r="L133">
        <v>2.14</v>
      </c>
      <c r="M133" s="2">
        <f>I133/(L133+0.0001)</f>
        <v>5.1516571697425807E-3</v>
      </c>
      <c r="N133" s="2">
        <f>RANK(M133,$M$2:$M$245)</f>
        <v>86</v>
      </c>
      <c r="O133" s="2">
        <v>8.9010656040395108E-3</v>
      </c>
      <c r="P133" s="2">
        <f>RANK(O133,$O$2:$O$245)</f>
        <v>156</v>
      </c>
    </row>
    <row r="134" spans="1:16" x14ac:dyDescent="0.2">
      <c r="A134" t="s">
        <v>26</v>
      </c>
      <c r="B134" t="s">
        <v>25</v>
      </c>
      <c r="C134">
        <v>2</v>
      </c>
      <c r="D134">
        <v>37</v>
      </c>
      <c r="E134">
        <v>2</v>
      </c>
      <c r="F134">
        <v>37</v>
      </c>
      <c r="G134" t="s">
        <v>18</v>
      </c>
      <c r="H134" t="s">
        <v>22</v>
      </c>
      <c r="I134">
        <v>1.10204981265153E-2</v>
      </c>
      <c r="J134" s="2">
        <f>RANK(I134,$I$2:$I$245)</f>
        <v>133</v>
      </c>
      <c r="K134">
        <v>1</v>
      </c>
      <c r="L134">
        <v>3.26</v>
      </c>
      <c r="M134" s="2">
        <f>I134/(L134+0.0001)</f>
        <v>3.3804172039248181E-3</v>
      </c>
      <c r="N134" s="2">
        <f>RANK(M134,$M$2:$M$245)</f>
        <v>161</v>
      </c>
      <c r="O134" s="2">
        <f>I134*EXP(-0.01*L134)</f>
        <v>1.066702283916985E-2</v>
      </c>
      <c r="P134" s="2">
        <f>RANK(O134,$O$2:$O$245)</f>
        <v>89</v>
      </c>
    </row>
    <row r="135" spans="1:16" x14ac:dyDescent="0.2">
      <c r="A135" t="s">
        <v>26</v>
      </c>
      <c r="B135" t="s">
        <v>24</v>
      </c>
      <c r="C135">
        <v>1</v>
      </c>
      <c r="D135">
        <v>50</v>
      </c>
      <c r="E135">
        <v>0</v>
      </c>
      <c r="F135">
        <v>0</v>
      </c>
      <c r="G135" t="s">
        <v>23</v>
      </c>
      <c r="H135" t="s">
        <v>22</v>
      </c>
      <c r="I135">
        <v>1.1013215859030799E-2</v>
      </c>
      <c r="J135" s="2">
        <f>RANK(I135,$I$2:$I$245)</f>
        <v>134</v>
      </c>
      <c r="K135">
        <v>1</v>
      </c>
      <c r="L135">
        <v>2.02</v>
      </c>
      <c r="M135" s="2">
        <f>I135/(L135+0.0001)</f>
        <v>5.4518171669871779E-3</v>
      </c>
      <c r="N135" s="2">
        <f>RANK(M135,$M$2:$M$245)</f>
        <v>71</v>
      </c>
      <c r="O135" s="2">
        <v>8.9988428187470701E-3</v>
      </c>
      <c r="P135" s="2">
        <f>RANK(O135,$O$2:$O$245)</f>
        <v>150</v>
      </c>
    </row>
    <row r="136" spans="1:16" x14ac:dyDescent="0.2">
      <c r="A136" t="s">
        <v>26</v>
      </c>
      <c r="B136" t="s">
        <v>24</v>
      </c>
      <c r="C136">
        <v>2</v>
      </c>
      <c r="D136">
        <v>100</v>
      </c>
      <c r="E136">
        <v>0</v>
      </c>
      <c r="F136">
        <v>0</v>
      </c>
      <c r="G136" t="s">
        <v>23</v>
      </c>
      <c r="H136" t="s">
        <v>19</v>
      </c>
      <c r="I136">
        <v>1.10123648410287E-2</v>
      </c>
      <c r="J136" s="2">
        <f>RANK(I136,$I$2:$I$245)</f>
        <v>135</v>
      </c>
      <c r="K136">
        <v>1</v>
      </c>
      <c r="L136">
        <v>1.82</v>
      </c>
      <c r="M136" s="2">
        <f>I136/(L136+0.0001)</f>
        <v>6.0504174721326852E-3</v>
      </c>
      <c r="N136" s="2">
        <f>RANK(M136,$M$2:$M$245)</f>
        <v>50</v>
      </c>
      <c r="O136">
        <v>9.1799220926286392E-3</v>
      </c>
      <c r="P136" s="2">
        <f>RANK(O136,$O$2:$O$245)</f>
        <v>138</v>
      </c>
    </row>
    <row r="137" spans="1:16" x14ac:dyDescent="0.2">
      <c r="A137" t="s">
        <v>26</v>
      </c>
      <c r="B137" t="s">
        <v>24</v>
      </c>
      <c r="C137">
        <v>2</v>
      </c>
      <c r="D137">
        <v>75</v>
      </c>
      <c r="E137">
        <v>0</v>
      </c>
      <c r="F137">
        <v>0</v>
      </c>
      <c r="G137" t="s">
        <v>23</v>
      </c>
      <c r="H137" t="s">
        <v>19</v>
      </c>
      <c r="I137">
        <v>1.10121759391128E-2</v>
      </c>
      <c r="J137" s="2">
        <f>RANK(I137,$I$2:$I$245)</f>
        <v>136</v>
      </c>
      <c r="K137">
        <v>1</v>
      </c>
      <c r="L137">
        <v>1.82</v>
      </c>
      <c r="M137" s="2">
        <f>I137/(L137+0.0001)</f>
        <v>6.05031368557376E-3</v>
      </c>
      <c r="N137" s="2">
        <f>RANK(M137,$M$2:$M$245)</f>
        <v>51</v>
      </c>
      <c r="O137">
        <v>9.1797646237383405E-3</v>
      </c>
      <c r="P137" s="2">
        <f>RANK(O137,$O$2:$O$245)</f>
        <v>139</v>
      </c>
    </row>
    <row r="138" spans="1:16" x14ac:dyDescent="0.2">
      <c r="A138" t="s">
        <v>26</v>
      </c>
      <c r="B138" t="s">
        <v>25</v>
      </c>
      <c r="C138">
        <v>1</v>
      </c>
      <c r="D138">
        <v>25</v>
      </c>
      <c r="E138">
        <v>0</v>
      </c>
      <c r="F138">
        <v>0</v>
      </c>
      <c r="G138" t="s">
        <v>18</v>
      </c>
      <c r="H138" t="s">
        <v>19</v>
      </c>
      <c r="I138">
        <v>1.0992756723967901E-2</v>
      </c>
      <c r="J138" s="2">
        <f>RANK(I138,$I$2:$I$245)</f>
        <v>137</v>
      </c>
      <c r="K138">
        <v>1</v>
      </c>
      <c r="L138">
        <v>1.68</v>
      </c>
      <c r="M138" s="2">
        <f>I138/(L138+0.0001)</f>
        <v>6.5429181143788475E-3</v>
      </c>
      <c r="N138" s="2">
        <f>RANK(M138,$M$2:$M$245)</f>
        <v>37</v>
      </c>
      <c r="O138" s="2">
        <f>I138*EXP(-0.01*L138)</f>
        <v>1.0809621057930556E-2</v>
      </c>
      <c r="P138" s="2">
        <f>RANK(O138,$O$2:$O$245)</f>
        <v>70</v>
      </c>
    </row>
    <row r="139" spans="1:16" x14ac:dyDescent="0.2">
      <c r="A139" t="s">
        <v>26</v>
      </c>
      <c r="B139" t="s">
        <v>25</v>
      </c>
      <c r="C139">
        <v>1</v>
      </c>
      <c r="D139">
        <v>25</v>
      </c>
      <c r="E139">
        <v>1</v>
      </c>
      <c r="F139">
        <v>25</v>
      </c>
      <c r="G139" t="s">
        <v>18</v>
      </c>
      <c r="H139" t="s">
        <v>22</v>
      </c>
      <c r="I139">
        <v>1.0989010989011E-2</v>
      </c>
      <c r="J139" s="2">
        <f>RANK(I139,$I$2:$I$245)</f>
        <v>138</v>
      </c>
      <c r="K139">
        <v>1</v>
      </c>
      <c r="L139">
        <v>3.28</v>
      </c>
      <c r="M139" s="2">
        <f>I139/(L139+0.0001)</f>
        <v>3.3502060879275022E-3</v>
      </c>
      <c r="N139" s="2">
        <f>RANK(M139,$M$2:$M$245)</f>
        <v>162</v>
      </c>
      <c r="O139" s="2">
        <f>I139*EXP(-0.01*L139)</f>
        <v>1.0634418534648485E-2</v>
      </c>
      <c r="P139" s="2">
        <f>RANK(O139,$O$2:$O$245)</f>
        <v>101</v>
      </c>
    </row>
    <row r="140" spans="1:16" x14ac:dyDescent="0.2">
      <c r="A140" t="s">
        <v>26</v>
      </c>
      <c r="B140" t="s">
        <v>24</v>
      </c>
      <c r="C140">
        <v>1</v>
      </c>
      <c r="D140">
        <v>25</v>
      </c>
      <c r="E140">
        <v>0</v>
      </c>
      <c r="F140">
        <v>0</v>
      </c>
      <c r="G140" t="s">
        <v>18</v>
      </c>
      <c r="H140" t="s">
        <v>19</v>
      </c>
      <c r="I140">
        <v>1.09797775620724E-2</v>
      </c>
      <c r="J140" s="2">
        <f>RANK(I140,$I$2:$I$245)</f>
        <v>139</v>
      </c>
      <c r="K140">
        <v>1</v>
      </c>
      <c r="L140">
        <v>1.42</v>
      </c>
      <c r="M140" s="2">
        <f>I140/(L140+0.0001)</f>
        <v>7.7316932343302587E-3</v>
      </c>
      <c r="N140" s="2">
        <f>RANK(M140,$M$2:$M$245)</f>
        <v>12</v>
      </c>
      <c r="O140" s="2">
        <f>I140*EXP(-0.01*L140)</f>
        <v>1.0824966480702162E-2</v>
      </c>
      <c r="P140" s="2">
        <f>RANK(O140,$O$2:$O$245)</f>
        <v>67</v>
      </c>
    </row>
    <row r="141" spans="1:16" x14ac:dyDescent="0.2">
      <c r="A141" t="s">
        <v>26</v>
      </c>
      <c r="B141" t="s">
        <v>24</v>
      </c>
      <c r="C141">
        <v>2</v>
      </c>
      <c r="D141">
        <v>37</v>
      </c>
      <c r="E141">
        <v>2</v>
      </c>
      <c r="F141">
        <v>37</v>
      </c>
      <c r="G141" t="s">
        <v>18</v>
      </c>
      <c r="H141" t="s">
        <v>22</v>
      </c>
      <c r="I141">
        <v>1.09793588054458E-2</v>
      </c>
      <c r="J141" s="2">
        <f>RANK(I141,$I$2:$I$245)</f>
        <v>140</v>
      </c>
      <c r="K141">
        <v>1</v>
      </c>
      <c r="L141">
        <v>2.96</v>
      </c>
      <c r="M141" s="2">
        <f>I141/(L141+0.0001)</f>
        <v>3.7091175316529171E-3</v>
      </c>
      <c r="N141" s="2">
        <f>RANK(M141,$M$2:$M$245)</f>
        <v>137</v>
      </c>
      <c r="O141" s="2">
        <f>I141*EXP(-0.01*L141)</f>
        <v>1.065913251436019E-2</v>
      </c>
      <c r="P141" s="2">
        <f>RANK(O141,$O$2:$O$245)</f>
        <v>92</v>
      </c>
    </row>
    <row r="142" spans="1:16" x14ac:dyDescent="0.2">
      <c r="A142" t="s">
        <v>26</v>
      </c>
      <c r="B142" t="s">
        <v>24</v>
      </c>
      <c r="C142">
        <v>5</v>
      </c>
      <c r="D142">
        <v>75</v>
      </c>
      <c r="E142">
        <v>0</v>
      </c>
      <c r="F142">
        <v>0</v>
      </c>
      <c r="G142" t="s">
        <v>18</v>
      </c>
      <c r="H142" t="s">
        <v>22</v>
      </c>
      <c r="I142">
        <v>1.0976948408342501E-2</v>
      </c>
      <c r="J142" s="2">
        <f>RANK(I142,$I$2:$I$245)</f>
        <v>141</v>
      </c>
      <c r="K142">
        <v>1</v>
      </c>
      <c r="L142">
        <v>1.56</v>
      </c>
      <c r="M142" s="2">
        <f>I142/(L142+0.0001)</f>
        <v>7.0360543608374466E-3</v>
      </c>
      <c r="N142" s="2">
        <f>RANK(M142,$M$2:$M$245)</f>
        <v>27</v>
      </c>
      <c r="O142">
        <f>I142*EXP(-0.01*L142)</f>
        <v>1.0807036769747454E-2</v>
      </c>
      <c r="P142" s="2">
        <f>RANK(O142,$O$2:$O$245)</f>
        <v>71</v>
      </c>
    </row>
    <row r="143" spans="1:16" x14ac:dyDescent="0.2">
      <c r="A143" t="s">
        <v>26</v>
      </c>
      <c r="B143" t="s">
        <v>24</v>
      </c>
      <c r="C143">
        <v>5</v>
      </c>
      <c r="D143">
        <v>100</v>
      </c>
      <c r="E143">
        <v>0</v>
      </c>
      <c r="F143">
        <v>0</v>
      </c>
      <c r="G143" t="s">
        <v>18</v>
      </c>
      <c r="H143" t="s">
        <v>22</v>
      </c>
      <c r="I143">
        <v>1.0976948408342501E-2</v>
      </c>
      <c r="J143" s="2">
        <f>RANK(I143,$I$2:$I$245)</f>
        <v>141</v>
      </c>
      <c r="K143">
        <v>1</v>
      </c>
      <c r="L143">
        <v>1.56</v>
      </c>
      <c r="M143" s="2">
        <f>I143/(L143+0.0001)</f>
        <v>7.0360543608374466E-3</v>
      </c>
      <c r="N143" s="2">
        <f>RANK(M143,$M$2:$M$245)</f>
        <v>27</v>
      </c>
      <c r="O143" s="2">
        <f>I143*EXP(-0.01*L143)</f>
        <v>1.0807036769747454E-2</v>
      </c>
      <c r="P143" s="2">
        <f>RANK(O143,$O$2:$O$245)</f>
        <v>71</v>
      </c>
    </row>
    <row r="144" spans="1:16" x14ac:dyDescent="0.2">
      <c r="A144" t="s">
        <v>26</v>
      </c>
      <c r="B144" t="s">
        <v>24</v>
      </c>
      <c r="C144">
        <v>1</v>
      </c>
      <c r="D144">
        <v>25</v>
      </c>
      <c r="E144">
        <v>1</v>
      </c>
      <c r="F144">
        <v>25</v>
      </c>
      <c r="G144" t="s">
        <v>18</v>
      </c>
      <c r="H144" t="s">
        <v>22</v>
      </c>
      <c r="I144">
        <v>1.0976948408342501E-2</v>
      </c>
      <c r="J144" s="2">
        <f>RANK(I144,$I$2:$I$245)</f>
        <v>141</v>
      </c>
      <c r="K144">
        <v>1</v>
      </c>
      <c r="L144">
        <v>3</v>
      </c>
      <c r="M144" s="2">
        <f>I144/(L144+0.0001)</f>
        <v>3.6588608407528084E-3</v>
      </c>
      <c r="N144" s="2">
        <f>RANK(M144,$M$2:$M$245)</f>
        <v>138</v>
      </c>
      <c r="O144" s="2">
        <f>I144*EXP(-0.01*L144)</f>
        <v>1.0652530554868386E-2</v>
      </c>
      <c r="P144" s="2">
        <f>RANK(O144,$O$2:$O$245)</f>
        <v>93</v>
      </c>
    </row>
    <row r="145" spans="1:16" x14ac:dyDescent="0.2">
      <c r="A145" t="s">
        <v>26</v>
      </c>
      <c r="B145" t="s">
        <v>24</v>
      </c>
      <c r="C145">
        <v>1</v>
      </c>
      <c r="D145">
        <v>50</v>
      </c>
      <c r="E145">
        <v>0</v>
      </c>
      <c r="F145">
        <v>0</v>
      </c>
      <c r="G145" t="s">
        <v>23</v>
      </c>
      <c r="H145" t="s">
        <v>19</v>
      </c>
      <c r="I145">
        <v>1.09768592524397E-2</v>
      </c>
      <c r="J145" s="2">
        <f>RANK(I145,$I$2:$I$245)</f>
        <v>144</v>
      </c>
      <c r="K145">
        <v>1</v>
      </c>
      <c r="L145">
        <v>1.84</v>
      </c>
      <c r="M145" s="2">
        <f>I145/(L145+0.0001)</f>
        <v>5.9653601719687512E-3</v>
      </c>
      <c r="N145" s="2">
        <f>RANK(M145,$M$2:$M$245)</f>
        <v>55</v>
      </c>
      <c r="O145" s="2">
        <v>9.1320422256706592E-3</v>
      </c>
      <c r="P145" s="2">
        <f>RANK(O145,$O$2:$O$245)</f>
        <v>141</v>
      </c>
    </row>
    <row r="146" spans="1:16" x14ac:dyDescent="0.2">
      <c r="A146" t="s">
        <v>26</v>
      </c>
      <c r="B146" t="s">
        <v>24</v>
      </c>
      <c r="C146">
        <v>2</v>
      </c>
      <c r="D146">
        <v>50</v>
      </c>
      <c r="E146">
        <v>2</v>
      </c>
      <c r="F146">
        <v>50</v>
      </c>
      <c r="G146" t="s">
        <v>23</v>
      </c>
      <c r="H146" t="s">
        <v>22</v>
      </c>
      <c r="I146">
        <v>1.09697235629662E-2</v>
      </c>
      <c r="J146" s="2">
        <f>RANK(I146,$I$2:$I$245)</f>
        <v>145</v>
      </c>
      <c r="K146">
        <v>1</v>
      </c>
      <c r="L146">
        <v>3.24</v>
      </c>
      <c r="M146" s="2">
        <f>I146/(L146+0.0001)</f>
        <v>3.3856126548458994E-3</v>
      </c>
      <c r="N146" s="2">
        <f>RANK(M146,$M$2:$M$245)</f>
        <v>160</v>
      </c>
      <c r="O146">
        <v>7.9338552257551698E-3</v>
      </c>
      <c r="P146" s="2">
        <f>RANK(O146,$O$2:$O$245)</f>
        <v>189</v>
      </c>
    </row>
    <row r="147" spans="1:16" x14ac:dyDescent="0.2">
      <c r="A147" t="s">
        <v>26</v>
      </c>
      <c r="B147" t="s">
        <v>24</v>
      </c>
      <c r="C147">
        <v>2</v>
      </c>
      <c r="D147">
        <v>50</v>
      </c>
      <c r="E147">
        <v>0</v>
      </c>
      <c r="F147">
        <v>0</v>
      </c>
      <c r="G147" t="s">
        <v>18</v>
      </c>
      <c r="H147" t="s">
        <v>22</v>
      </c>
      <c r="I147">
        <v>1.0967317394165401E-2</v>
      </c>
      <c r="J147" s="2">
        <f>RANK(I147,$I$2:$I$245)</f>
        <v>146</v>
      </c>
      <c r="K147">
        <v>1</v>
      </c>
      <c r="L147">
        <v>1.54</v>
      </c>
      <c r="M147" s="2">
        <f>I147/(L147+0.0001)</f>
        <v>7.1211722577530032E-3</v>
      </c>
      <c r="N147" s="2">
        <f>RANK(M147,$M$2:$M$245)</f>
        <v>23</v>
      </c>
      <c r="O147" s="2">
        <f>I147*EXP(-0.01*L147)</f>
        <v>1.0799714560492115E-2</v>
      </c>
      <c r="P147" s="2">
        <f>RANK(O147,$O$2:$O$245)</f>
        <v>73</v>
      </c>
    </row>
    <row r="148" spans="1:16" x14ac:dyDescent="0.2">
      <c r="A148" t="s">
        <v>26</v>
      </c>
      <c r="B148" t="s">
        <v>25</v>
      </c>
      <c r="C148">
        <v>2</v>
      </c>
      <c r="D148">
        <v>37</v>
      </c>
      <c r="E148">
        <v>2</v>
      </c>
      <c r="F148">
        <v>37</v>
      </c>
      <c r="G148" t="s">
        <v>18</v>
      </c>
      <c r="H148" t="s">
        <v>19</v>
      </c>
      <c r="I148">
        <v>1.09601375962815E-2</v>
      </c>
      <c r="J148" s="2">
        <f>RANK(I148,$I$2:$I$245)</f>
        <v>147</v>
      </c>
      <c r="K148">
        <v>1</v>
      </c>
      <c r="L148">
        <v>2.94</v>
      </c>
      <c r="M148" s="2">
        <f>I148/(L148+0.0001)</f>
        <v>3.7278111616208631E-3</v>
      </c>
      <c r="N148" s="2">
        <f>RANK(M148,$M$2:$M$245)</f>
        <v>134</v>
      </c>
      <c r="O148" s="2">
        <f>I148*EXP(-0.01*L148)</f>
        <v>1.0642600222236842E-2</v>
      </c>
      <c r="P148" s="2">
        <f>RANK(O148,$O$2:$O$245)</f>
        <v>96</v>
      </c>
    </row>
    <row r="149" spans="1:16" x14ac:dyDescent="0.2">
      <c r="A149" t="s">
        <v>26</v>
      </c>
      <c r="B149" t="s">
        <v>24</v>
      </c>
      <c r="C149">
        <v>1</v>
      </c>
      <c r="D149">
        <v>75</v>
      </c>
      <c r="E149">
        <v>0</v>
      </c>
      <c r="F149">
        <v>0</v>
      </c>
      <c r="G149" t="s">
        <v>23</v>
      </c>
      <c r="H149" t="s">
        <v>22</v>
      </c>
      <c r="I149">
        <v>1.09601052170101E-2</v>
      </c>
      <c r="J149" s="2">
        <f>RANK(I149,$I$2:$I$245)</f>
        <v>148</v>
      </c>
      <c r="K149">
        <v>1</v>
      </c>
      <c r="L149">
        <v>2.02</v>
      </c>
      <c r="M149" s="2">
        <f>I149/(L149+0.0001)</f>
        <v>5.4255260714866091E-3</v>
      </c>
      <c r="N149" s="2">
        <f>RANK(M149,$M$2:$M$245)</f>
        <v>75</v>
      </c>
      <c r="O149">
        <v>8.9554463825321992E-3</v>
      </c>
      <c r="P149" s="2">
        <f>RANK(O149,$O$2:$O$245)</f>
        <v>152</v>
      </c>
    </row>
    <row r="150" spans="1:16" x14ac:dyDescent="0.2">
      <c r="A150" t="s">
        <v>26</v>
      </c>
      <c r="B150" t="s">
        <v>24</v>
      </c>
      <c r="C150">
        <v>1</v>
      </c>
      <c r="D150">
        <v>100</v>
      </c>
      <c r="E150">
        <v>0</v>
      </c>
      <c r="F150">
        <v>0</v>
      </c>
      <c r="G150" t="s">
        <v>23</v>
      </c>
      <c r="H150" t="s">
        <v>22</v>
      </c>
      <c r="I150">
        <v>1.09601052170101E-2</v>
      </c>
      <c r="J150" s="2">
        <f>RANK(I150,$I$2:$I$245)</f>
        <v>148</v>
      </c>
      <c r="K150">
        <v>1</v>
      </c>
      <c r="L150">
        <v>2.02</v>
      </c>
      <c r="M150" s="2">
        <f>I150/(L150+0.0001)</f>
        <v>5.4255260714866091E-3</v>
      </c>
      <c r="N150" s="2">
        <f>RANK(M150,$M$2:$M$245)</f>
        <v>75</v>
      </c>
      <c r="O150">
        <v>8.9554463825321992E-3</v>
      </c>
      <c r="P150" s="2">
        <f>RANK(O150,$O$2:$O$245)</f>
        <v>152</v>
      </c>
    </row>
    <row r="151" spans="1:16" x14ac:dyDescent="0.2">
      <c r="A151" t="s">
        <v>26</v>
      </c>
      <c r="B151" t="s">
        <v>25</v>
      </c>
      <c r="C151">
        <v>1</v>
      </c>
      <c r="D151">
        <v>25</v>
      </c>
      <c r="E151">
        <v>1</v>
      </c>
      <c r="F151">
        <v>25</v>
      </c>
      <c r="G151" t="s">
        <v>18</v>
      </c>
      <c r="H151" t="s">
        <v>19</v>
      </c>
      <c r="I151">
        <v>1.0955860360496301E-2</v>
      </c>
      <c r="J151" s="2">
        <f>RANK(I151,$I$2:$I$245)</f>
        <v>150</v>
      </c>
      <c r="K151">
        <v>1</v>
      </c>
      <c r="L151">
        <v>3.08</v>
      </c>
      <c r="M151" s="2">
        <f>I151/(L151+0.0001)</f>
        <v>3.5569820332120058E-3</v>
      </c>
      <c r="N151" s="2">
        <f>RANK(M151,$M$2:$M$245)</f>
        <v>149</v>
      </c>
      <c r="O151" s="2">
        <f>I151*EXP(-0.01*L151)</f>
        <v>1.0623563501776317E-2</v>
      </c>
      <c r="P151" s="2">
        <f>RANK(O151,$O$2:$O$245)</f>
        <v>103</v>
      </c>
    </row>
    <row r="152" spans="1:16" x14ac:dyDescent="0.2">
      <c r="A152" t="s">
        <v>26</v>
      </c>
      <c r="B152" t="s">
        <v>25</v>
      </c>
      <c r="C152">
        <v>5</v>
      </c>
      <c r="D152">
        <v>75</v>
      </c>
      <c r="E152">
        <v>0</v>
      </c>
      <c r="F152">
        <v>0</v>
      </c>
      <c r="G152" t="s">
        <v>18</v>
      </c>
      <c r="H152" t="s">
        <v>22</v>
      </c>
      <c r="I152">
        <v>1.09529025191676E-2</v>
      </c>
      <c r="J152" s="2">
        <f>RANK(I152,$I$2:$I$245)</f>
        <v>151</v>
      </c>
      <c r="K152">
        <v>1</v>
      </c>
      <c r="L152">
        <v>1.84</v>
      </c>
      <c r="M152" s="2">
        <f>I152/(L152+0.0001)</f>
        <v>5.9523409158021845E-3</v>
      </c>
      <c r="N152" s="2">
        <f>RANK(M152,$M$2:$M$245)</f>
        <v>56</v>
      </c>
      <c r="O152">
        <f>I152*EXP(-0.01*L152)</f>
        <v>1.0753211900413652E-2</v>
      </c>
      <c r="P152" s="2">
        <f>RANK(O152,$O$2:$O$245)</f>
        <v>76</v>
      </c>
    </row>
    <row r="153" spans="1:16" x14ac:dyDescent="0.2">
      <c r="A153" t="s">
        <v>26</v>
      </c>
      <c r="B153" t="s">
        <v>25</v>
      </c>
      <c r="C153">
        <v>2</v>
      </c>
      <c r="D153">
        <v>50</v>
      </c>
      <c r="E153">
        <v>2</v>
      </c>
      <c r="F153">
        <v>50</v>
      </c>
      <c r="G153" t="s">
        <v>23</v>
      </c>
      <c r="H153" t="s">
        <v>22</v>
      </c>
      <c r="I153">
        <v>1.0950503723171299E-2</v>
      </c>
      <c r="J153" s="2">
        <f>RANK(I153,$I$2:$I$245)</f>
        <v>152</v>
      </c>
      <c r="K153">
        <v>1</v>
      </c>
      <c r="L153">
        <v>3.54</v>
      </c>
      <c r="M153" s="2">
        <f>I153/(L153+0.0001)</f>
        <v>3.0932752530073442E-3</v>
      </c>
      <c r="N153" s="2">
        <f>RANK(M153,$M$2:$M$245)</f>
        <v>180</v>
      </c>
      <c r="O153" s="2">
        <v>7.6858844432259798E-3</v>
      </c>
      <c r="P153" s="2">
        <f>RANK(O153,$O$2:$O$245)</f>
        <v>201</v>
      </c>
    </row>
    <row r="154" spans="1:16" x14ac:dyDescent="0.2">
      <c r="A154" t="s">
        <v>26</v>
      </c>
      <c r="B154" t="s">
        <v>24</v>
      </c>
      <c r="C154">
        <v>2</v>
      </c>
      <c r="D154">
        <v>37</v>
      </c>
      <c r="E154">
        <v>2</v>
      </c>
      <c r="F154">
        <v>37</v>
      </c>
      <c r="G154" t="s">
        <v>18</v>
      </c>
      <c r="H154" t="s">
        <v>19</v>
      </c>
      <c r="I154">
        <v>1.09486545086605E-2</v>
      </c>
      <c r="J154" s="2">
        <f>RANK(I154,$I$2:$I$245)</f>
        <v>153</v>
      </c>
      <c r="K154">
        <v>1</v>
      </c>
      <c r="L154">
        <v>2.84</v>
      </c>
      <c r="M154" s="2">
        <f>I154/(L154+0.0001)</f>
        <v>3.8550242979685572E-3</v>
      </c>
      <c r="N154" s="2">
        <f>RANK(M154,$M$2:$M$245)</f>
        <v>128</v>
      </c>
      <c r="O154" s="2">
        <f>I154*EXP(-0.01*L154)</f>
        <v>1.0642086590230944E-2</v>
      </c>
      <c r="P154" s="2">
        <f>RANK(O154,$O$2:$O$245)</f>
        <v>97</v>
      </c>
    </row>
    <row r="155" spans="1:16" x14ac:dyDescent="0.2">
      <c r="A155" t="s">
        <v>26</v>
      </c>
      <c r="B155" t="s">
        <v>25</v>
      </c>
      <c r="C155">
        <v>2</v>
      </c>
      <c r="D155">
        <v>50</v>
      </c>
      <c r="E155">
        <v>0</v>
      </c>
      <c r="F155">
        <v>0</v>
      </c>
      <c r="G155" t="s">
        <v>18</v>
      </c>
      <c r="H155" t="s">
        <v>22</v>
      </c>
      <c r="I155">
        <v>1.0945709281961501E-2</v>
      </c>
      <c r="J155" s="2">
        <f>RANK(I155,$I$2:$I$245)</f>
        <v>154</v>
      </c>
      <c r="K155">
        <v>1</v>
      </c>
      <c r="L155">
        <v>1.88</v>
      </c>
      <c r="M155" s="2">
        <f>I155/(L155+0.0001)</f>
        <v>5.8218761140160103E-3</v>
      </c>
      <c r="N155" s="2">
        <f>RANK(M155,$M$2:$M$245)</f>
        <v>61</v>
      </c>
      <c r="O155">
        <f>I155*EXP(-0.01*L155)</f>
        <v>1.0741852208189063E-2</v>
      </c>
      <c r="P155" s="2">
        <f>RANK(O155,$O$2:$O$245)</f>
        <v>78</v>
      </c>
    </row>
    <row r="156" spans="1:16" x14ac:dyDescent="0.2">
      <c r="A156" t="s">
        <v>26</v>
      </c>
      <c r="B156" t="s">
        <v>24</v>
      </c>
      <c r="C156">
        <v>1</v>
      </c>
      <c r="D156">
        <v>25</v>
      </c>
      <c r="E156">
        <v>1</v>
      </c>
      <c r="F156">
        <v>25</v>
      </c>
      <c r="G156" t="s">
        <v>18</v>
      </c>
      <c r="H156" t="s">
        <v>19</v>
      </c>
      <c r="I156">
        <v>1.09426353337936E-2</v>
      </c>
      <c r="J156" s="2">
        <f>RANK(I156,$I$2:$I$245)</f>
        <v>155</v>
      </c>
      <c r="K156">
        <v>1</v>
      </c>
      <c r="L156">
        <v>2.82</v>
      </c>
      <c r="M156" s="2">
        <f>I156/(L156+0.0001)</f>
        <v>3.8802295428508205E-3</v>
      </c>
      <c r="N156" s="2">
        <f>RANK(M156,$M$2:$M$245)</f>
        <v>124</v>
      </c>
      <c r="O156" s="2">
        <f>I156*EXP(-0.01*L156)</f>
        <v>1.063836341526467E-2</v>
      </c>
      <c r="P156" s="2">
        <f>RANK(O156,$O$2:$O$245)</f>
        <v>100</v>
      </c>
    </row>
    <row r="157" spans="1:16" x14ac:dyDescent="0.2">
      <c r="A157" t="s">
        <v>26</v>
      </c>
      <c r="B157" t="s">
        <v>24</v>
      </c>
      <c r="C157">
        <v>1</v>
      </c>
      <c r="D157">
        <v>37</v>
      </c>
      <c r="E157">
        <v>1</v>
      </c>
      <c r="F157">
        <v>37</v>
      </c>
      <c r="G157" t="s">
        <v>23</v>
      </c>
      <c r="H157" t="s">
        <v>22</v>
      </c>
      <c r="I157">
        <v>1.09409190371991E-2</v>
      </c>
      <c r="J157" s="2">
        <f>RANK(I157,$I$2:$I$245)</f>
        <v>156</v>
      </c>
      <c r="K157">
        <v>1</v>
      </c>
      <c r="L157">
        <v>3.08</v>
      </c>
      <c r="M157" s="2">
        <f>I157/(L157+0.0001)</f>
        <v>3.5521311117168593E-3</v>
      </c>
      <c r="N157" s="2">
        <f>RANK(M157,$M$2:$M$245)</f>
        <v>150</v>
      </c>
      <c r="O157" s="2">
        <v>8.0406489935346496E-3</v>
      </c>
      <c r="P157" s="2">
        <f>RANK(O157,$O$2:$O$245)</f>
        <v>184</v>
      </c>
    </row>
    <row r="158" spans="1:16" x14ac:dyDescent="0.2">
      <c r="A158" t="s">
        <v>26</v>
      </c>
      <c r="B158" t="s">
        <v>24</v>
      </c>
      <c r="C158">
        <v>2</v>
      </c>
      <c r="D158">
        <v>50</v>
      </c>
      <c r="E158">
        <v>2</v>
      </c>
      <c r="F158">
        <v>50</v>
      </c>
      <c r="G158" t="s">
        <v>23</v>
      </c>
      <c r="H158" t="s">
        <v>19</v>
      </c>
      <c r="I158">
        <v>1.0935450575016501E-2</v>
      </c>
      <c r="J158" s="2">
        <f>RANK(I158,$I$2:$I$245)</f>
        <v>157</v>
      </c>
      <c r="K158">
        <v>1</v>
      </c>
      <c r="L158">
        <v>3.02</v>
      </c>
      <c r="M158" s="2">
        <f>I158/(L158+0.0001)</f>
        <v>3.6208902271502598E-3</v>
      </c>
      <c r="N158" s="2">
        <f>RANK(M158,$M$2:$M$245)</f>
        <v>143</v>
      </c>
      <c r="O158">
        <v>8.0849948668278195E-3</v>
      </c>
      <c r="P158" s="2">
        <f>RANK(O158,$O$2:$O$245)</f>
        <v>182</v>
      </c>
    </row>
    <row r="159" spans="1:16" x14ac:dyDescent="0.2">
      <c r="A159" t="s">
        <v>26</v>
      </c>
      <c r="B159" t="s">
        <v>24</v>
      </c>
      <c r="C159">
        <v>1</v>
      </c>
      <c r="D159">
        <v>100</v>
      </c>
      <c r="E159">
        <v>0</v>
      </c>
      <c r="F159">
        <v>0</v>
      </c>
      <c r="G159" t="s">
        <v>23</v>
      </c>
      <c r="H159" t="s">
        <v>19</v>
      </c>
      <c r="I159">
        <v>1.0931744504692699E-2</v>
      </c>
      <c r="J159" s="2">
        <f>RANK(I159,$I$2:$I$245)</f>
        <v>158</v>
      </c>
      <c r="K159">
        <v>1</v>
      </c>
      <c r="L159">
        <v>1.86</v>
      </c>
      <c r="M159" s="2">
        <f>I159/(L159+0.0001)</f>
        <v>5.8769660258548998E-3</v>
      </c>
      <c r="N159" s="2">
        <f>RANK(M159,$M$2:$M$245)</f>
        <v>58</v>
      </c>
      <c r="O159" s="2">
        <v>9.0763388093351906E-3</v>
      </c>
      <c r="P159" s="2">
        <f>RANK(O159,$O$2:$O$245)</f>
        <v>143</v>
      </c>
    </row>
    <row r="160" spans="1:16" x14ac:dyDescent="0.2">
      <c r="A160" t="s">
        <v>26</v>
      </c>
      <c r="B160" t="s">
        <v>24</v>
      </c>
      <c r="C160">
        <v>1</v>
      </c>
      <c r="D160">
        <v>75</v>
      </c>
      <c r="E160">
        <v>0</v>
      </c>
      <c r="F160">
        <v>0</v>
      </c>
      <c r="G160" t="s">
        <v>23</v>
      </c>
      <c r="H160" t="s">
        <v>19</v>
      </c>
      <c r="I160">
        <v>1.0930626250830499E-2</v>
      </c>
      <c r="J160" s="2">
        <f>RANK(I160,$I$2:$I$245)</f>
        <v>159</v>
      </c>
      <c r="K160">
        <v>1</v>
      </c>
      <c r="L160">
        <v>1.86</v>
      </c>
      <c r="M160" s="2">
        <f>I160/(L160+0.0001)</f>
        <v>5.8763648464225035E-3</v>
      </c>
      <c r="N160" s="2">
        <f>RANK(M160,$M$2:$M$245)</f>
        <v>59</v>
      </c>
      <c r="O160" s="2">
        <v>9.07541035268092E-3</v>
      </c>
      <c r="P160" s="2">
        <f>RANK(O160,$O$2:$O$245)</f>
        <v>144</v>
      </c>
    </row>
    <row r="161" spans="1:16" x14ac:dyDescent="0.2">
      <c r="A161" t="s">
        <v>26</v>
      </c>
      <c r="B161" t="s">
        <v>25</v>
      </c>
      <c r="C161">
        <v>2</v>
      </c>
      <c r="D161">
        <v>50</v>
      </c>
      <c r="E161">
        <v>2</v>
      </c>
      <c r="F161">
        <v>50</v>
      </c>
      <c r="G161" t="s">
        <v>23</v>
      </c>
      <c r="H161" t="s">
        <v>19</v>
      </c>
      <c r="I161">
        <v>1.0927825742134601E-2</v>
      </c>
      <c r="J161" s="2">
        <f>RANK(I161,$I$2:$I$245)</f>
        <v>160</v>
      </c>
      <c r="K161">
        <v>1</v>
      </c>
      <c r="L161">
        <v>3.34</v>
      </c>
      <c r="M161" s="2">
        <f>I161/(L161+0.0001)</f>
        <v>3.2717061591373314E-3</v>
      </c>
      <c r="N161" s="2">
        <f>RANK(M161,$M$2:$M$245)</f>
        <v>170</v>
      </c>
      <c r="O161">
        <v>7.8249109541753299E-3</v>
      </c>
      <c r="P161" s="2">
        <f>RANK(O161,$O$2:$O$245)</f>
        <v>195</v>
      </c>
    </row>
    <row r="162" spans="1:16" x14ac:dyDescent="0.2">
      <c r="A162" t="s">
        <v>26</v>
      </c>
      <c r="B162" t="s">
        <v>24</v>
      </c>
      <c r="C162">
        <v>1</v>
      </c>
      <c r="D162">
        <v>37</v>
      </c>
      <c r="E162">
        <v>1</v>
      </c>
      <c r="F162">
        <v>37</v>
      </c>
      <c r="G162" t="s">
        <v>23</v>
      </c>
      <c r="H162" t="s">
        <v>19</v>
      </c>
      <c r="I162">
        <v>1.0923118388314799E-2</v>
      </c>
      <c r="J162" s="2">
        <f>RANK(I162,$I$2:$I$245)</f>
        <v>161</v>
      </c>
      <c r="K162">
        <v>1</v>
      </c>
      <c r="L162">
        <v>2.9</v>
      </c>
      <c r="M162" s="2">
        <f>I162/(L162+0.0001)</f>
        <v>3.7664626696716661E-3</v>
      </c>
      <c r="N162" s="2">
        <f>RANK(M162,$M$2:$M$245)</f>
        <v>132</v>
      </c>
      <c r="O162">
        <v>8.1733715343234592E-3</v>
      </c>
      <c r="P162" s="2">
        <f>RANK(O162,$O$2:$O$245)</f>
        <v>177</v>
      </c>
    </row>
    <row r="163" spans="1:16" x14ac:dyDescent="0.2">
      <c r="A163" t="s">
        <v>26</v>
      </c>
      <c r="B163" t="s">
        <v>25</v>
      </c>
      <c r="C163">
        <v>1</v>
      </c>
      <c r="D163">
        <v>37</v>
      </c>
      <c r="E163">
        <v>1</v>
      </c>
      <c r="F163">
        <v>37</v>
      </c>
      <c r="G163" t="s">
        <v>23</v>
      </c>
      <c r="H163" t="s">
        <v>22</v>
      </c>
      <c r="I163">
        <v>1.0917030567685599E-2</v>
      </c>
      <c r="J163" s="2">
        <f>RANK(I163,$I$2:$I$245)</f>
        <v>162</v>
      </c>
      <c r="K163">
        <v>1</v>
      </c>
      <c r="L163">
        <v>3.58</v>
      </c>
      <c r="M163" s="2">
        <f>I163/(L163+0.0001)</f>
        <v>3.0493647014568303E-3</v>
      </c>
      <c r="N163" s="2">
        <f>RANK(M163,$M$2:$M$245)</f>
        <v>182</v>
      </c>
      <c r="O163">
        <v>7.6318021288922103E-3</v>
      </c>
      <c r="P163" s="2">
        <f>RANK(O163,$O$2:$O$245)</f>
        <v>203</v>
      </c>
    </row>
    <row r="164" spans="1:16" x14ac:dyDescent="0.2">
      <c r="A164" t="s">
        <v>26</v>
      </c>
      <c r="B164" t="s">
        <v>25</v>
      </c>
      <c r="C164">
        <v>2</v>
      </c>
      <c r="D164">
        <v>50</v>
      </c>
      <c r="E164">
        <v>0</v>
      </c>
      <c r="F164">
        <v>0</v>
      </c>
      <c r="G164" t="s">
        <v>18</v>
      </c>
      <c r="H164" t="s">
        <v>19</v>
      </c>
      <c r="I164">
        <v>1.09137352469817E-2</v>
      </c>
      <c r="J164" s="2">
        <f>RANK(I164,$I$2:$I$245)</f>
        <v>163</v>
      </c>
      <c r="K164">
        <v>1</v>
      </c>
      <c r="L164">
        <v>1.72</v>
      </c>
      <c r="M164" s="2">
        <f>I164/(L164+0.0001)</f>
        <v>6.3448260258018143E-3</v>
      </c>
      <c r="N164" s="2">
        <f>RANK(M164,$M$2:$M$245)</f>
        <v>40</v>
      </c>
      <c r="O164" s="2">
        <f>I164*EXP(-0.01*L164)</f>
        <v>1.0727624144451796E-2</v>
      </c>
      <c r="P164" s="2">
        <f>RANK(O164,$O$2:$O$245)</f>
        <v>81</v>
      </c>
    </row>
    <row r="165" spans="1:16" x14ac:dyDescent="0.2">
      <c r="A165" t="s">
        <v>26</v>
      </c>
      <c r="B165" t="s">
        <v>24</v>
      </c>
      <c r="C165">
        <v>2</v>
      </c>
      <c r="D165">
        <v>50</v>
      </c>
      <c r="E165">
        <v>0</v>
      </c>
      <c r="F165">
        <v>0</v>
      </c>
      <c r="G165" t="s">
        <v>18</v>
      </c>
      <c r="H165" t="s">
        <v>19</v>
      </c>
      <c r="I165">
        <v>1.0911548642363199E-2</v>
      </c>
      <c r="J165" s="2">
        <f>RANK(I165,$I$2:$I$245)</f>
        <v>164</v>
      </c>
      <c r="K165">
        <v>1</v>
      </c>
      <c r="L165">
        <v>1.44</v>
      </c>
      <c r="M165" s="2">
        <f>I165/(L165+0.0001)</f>
        <v>7.5769381587134227E-3</v>
      </c>
      <c r="N165" s="2">
        <f>RANK(M165,$M$2:$M$245)</f>
        <v>14</v>
      </c>
      <c r="O165">
        <f>I165*EXP(-0.01*L165)</f>
        <v>1.0755548240484325E-2</v>
      </c>
      <c r="P165" s="2">
        <f>RANK(O165,$O$2:$O$245)</f>
        <v>75</v>
      </c>
    </row>
    <row r="166" spans="1:16" x14ac:dyDescent="0.2">
      <c r="A166" t="s">
        <v>26</v>
      </c>
      <c r="B166" t="s">
        <v>25</v>
      </c>
      <c r="C166">
        <v>1</v>
      </c>
      <c r="D166">
        <v>50</v>
      </c>
      <c r="E166">
        <v>0</v>
      </c>
      <c r="F166">
        <v>0</v>
      </c>
      <c r="G166" t="s">
        <v>23</v>
      </c>
      <c r="H166" t="s">
        <v>22</v>
      </c>
      <c r="I166">
        <v>1.0905125408942199E-2</v>
      </c>
      <c r="J166" s="2">
        <f>RANK(I166,$I$2:$I$245)</f>
        <v>165</v>
      </c>
      <c r="K166">
        <v>1</v>
      </c>
      <c r="L166">
        <v>2.2999999999999998</v>
      </c>
      <c r="M166" s="2">
        <f>I166/(L166+0.0001)</f>
        <v>4.7411527363776353E-3</v>
      </c>
      <c r="N166" s="2">
        <f>RANK(M166,$M$2:$M$245)</f>
        <v>99</v>
      </c>
      <c r="O166">
        <v>8.6644885769174892E-3</v>
      </c>
      <c r="P166" s="2">
        <f>RANK(O166,$O$2:$O$245)</f>
        <v>170</v>
      </c>
    </row>
    <row r="167" spans="1:16" x14ac:dyDescent="0.2">
      <c r="A167" t="s">
        <v>26</v>
      </c>
      <c r="B167" t="s">
        <v>25</v>
      </c>
      <c r="C167">
        <v>2</v>
      </c>
      <c r="D167">
        <v>50</v>
      </c>
      <c r="E167">
        <v>2</v>
      </c>
      <c r="F167">
        <v>50</v>
      </c>
      <c r="G167" t="s">
        <v>18</v>
      </c>
      <c r="H167" t="s">
        <v>22</v>
      </c>
      <c r="I167">
        <v>1.09027474923681E-2</v>
      </c>
      <c r="J167" s="2">
        <f>RANK(I167,$I$2:$I$245)</f>
        <v>166</v>
      </c>
      <c r="K167">
        <v>1</v>
      </c>
      <c r="L167">
        <v>3.22</v>
      </c>
      <c r="M167" s="2">
        <f>I167/(L167+0.0001)</f>
        <v>3.3858412758510912E-3</v>
      </c>
      <c r="N167" s="2">
        <f>RANK(M167,$M$2:$M$245)</f>
        <v>159</v>
      </c>
      <c r="O167" s="2">
        <f>I167*EXP(-0.01*L167)</f>
        <v>1.0557271043737725E-2</v>
      </c>
      <c r="P167" s="2">
        <f>RANK(O167,$O$2:$O$245)</f>
        <v>110</v>
      </c>
    </row>
    <row r="168" spans="1:16" x14ac:dyDescent="0.2">
      <c r="A168" t="s">
        <v>26</v>
      </c>
      <c r="B168" t="s">
        <v>25</v>
      </c>
      <c r="C168">
        <v>1</v>
      </c>
      <c r="D168">
        <v>37</v>
      </c>
      <c r="E168">
        <v>1</v>
      </c>
      <c r="F168">
        <v>37</v>
      </c>
      <c r="G168" t="s">
        <v>23</v>
      </c>
      <c r="H168" t="s">
        <v>19</v>
      </c>
      <c r="I168">
        <v>1.0896905079647501E-2</v>
      </c>
      <c r="J168" s="2">
        <f>RANK(I168,$I$2:$I$245)</f>
        <v>167</v>
      </c>
      <c r="K168">
        <v>1</v>
      </c>
      <c r="L168">
        <v>3.32</v>
      </c>
      <c r="M168" s="2">
        <f>I168/(L168+0.0001)</f>
        <v>3.2821014667171172E-3</v>
      </c>
      <c r="N168" s="2">
        <f>RANK(M168,$M$2:$M$245)</f>
        <v>168</v>
      </c>
      <c r="O168">
        <v>7.8183912529952698E-3</v>
      </c>
      <c r="P168" s="2">
        <f>RANK(O168,$O$2:$O$245)</f>
        <v>196</v>
      </c>
    </row>
    <row r="169" spans="1:16" x14ac:dyDescent="0.2">
      <c r="A169" t="s">
        <v>26</v>
      </c>
      <c r="B169" t="s">
        <v>24</v>
      </c>
      <c r="C169">
        <v>2</v>
      </c>
      <c r="D169">
        <v>50</v>
      </c>
      <c r="E169">
        <v>2</v>
      </c>
      <c r="F169">
        <v>50</v>
      </c>
      <c r="G169" t="s">
        <v>18</v>
      </c>
      <c r="H169" t="s">
        <v>22</v>
      </c>
      <c r="I169">
        <v>1.08956199607758E-2</v>
      </c>
      <c r="J169" s="2">
        <f>RANK(I169,$I$2:$I$245)</f>
        <v>168</v>
      </c>
      <c r="K169">
        <v>1</v>
      </c>
      <c r="L169">
        <v>3</v>
      </c>
      <c r="M169" s="2">
        <f>I169/(L169+0.0001)</f>
        <v>3.6317522618498715E-3</v>
      </c>
      <c r="N169" s="2">
        <f>RANK(M169,$M$2:$M$245)</f>
        <v>142</v>
      </c>
      <c r="O169">
        <f>I169*EXP(-0.01*L169)</f>
        <v>1.0573605726176846E-2</v>
      </c>
      <c r="P169" s="2">
        <f>RANK(O169,$O$2:$O$245)</f>
        <v>107</v>
      </c>
    </row>
    <row r="170" spans="1:16" x14ac:dyDescent="0.2">
      <c r="A170" t="s">
        <v>26</v>
      </c>
      <c r="B170" t="s">
        <v>24</v>
      </c>
      <c r="C170">
        <v>5</v>
      </c>
      <c r="D170">
        <v>75</v>
      </c>
      <c r="E170">
        <v>0</v>
      </c>
      <c r="F170">
        <v>0</v>
      </c>
      <c r="G170" t="s">
        <v>18</v>
      </c>
      <c r="H170" t="s">
        <v>19</v>
      </c>
      <c r="I170">
        <v>1.0893863005814399E-2</v>
      </c>
      <c r="J170" s="2">
        <f>RANK(I170,$I$2:$I$245)</f>
        <v>169</v>
      </c>
      <c r="K170">
        <v>1</v>
      </c>
      <c r="L170">
        <v>1.44</v>
      </c>
      <c r="M170" s="2">
        <f>I170/(L170+0.0001)</f>
        <v>7.5646573195017009E-3</v>
      </c>
      <c r="N170" s="2">
        <f>RANK(M170,$M$2:$M$245)</f>
        <v>16</v>
      </c>
      <c r="O170" s="2">
        <f>I170*EXP(-0.01*L170)</f>
        <v>1.0738115452224941E-2</v>
      </c>
      <c r="P170" s="2">
        <f>RANK(O170,$O$2:$O$245)</f>
        <v>79</v>
      </c>
    </row>
    <row r="171" spans="1:16" x14ac:dyDescent="0.2">
      <c r="A171" t="s">
        <v>26</v>
      </c>
      <c r="B171" t="s">
        <v>24</v>
      </c>
      <c r="C171">
        <v>5</v>
      </c>
      <c r="D171">
        <v>100</v>
      </c>
      <c r="E171">
        <v>0</v>
      </c>
      <c r="F171">
        <v>0</v>
      </c>
      <c r="G171" t="s">
        <v>18</v>
      </c>
      <c r="H171" t="s">
        <v>19</v>
      </c>
      <c r="I171">
        <v>1.0893300414674E-2</v>
      </c>
      <c r="J171" s="2">
        <f>RANK(I171,$I$2:$I$245)</f>
        <v>170</v>
      </c>
      <c r="K171">
        <v>1</v>
      </c>
      <c r="L171">
        <v>1.44</v>
      </c>
      <c r="M171" s="2">
        <f>I171/(L171+0.0001)</f>
        <v>7.5642666583390049E-3</v>
      </c>
      <c r="N171" s="2">
        <f>RANK(M171,$M$2:$M$245)</f>
        <v>17</v>
      </c>
      <c r="O171" s="2">
        <f>I171*EXP(-0.01*L171)</f>
        <v>1.073756090434649E-2</v>
      </c>
      <c r="P171" s="2">
        <f>RANK(O171,$O$2:$O$245)</f>
        <v>80</v>
      </c>
    </row>
    <row r="172" spans="1:16" x14ac:dyDescent="0.2">
      <c r="A172" t="s">
        <v>26</v>
      </c>
      <c r="B172" t="s">
        <v>25</v>
      </c>
      <c r="C172">
        <v>2</v>
      </c>
      <c r="D172">
        <v>75</v>
      </c>
      <c r="E172">
        <v>0</v>
      </c>
      <c r="F172">
        <v>0</v>
      </c>
      <c r="G172" t="s">
        <v>23</v>
      </c>
      <c r="H172" t="s">
        <v>22</v>
      </c>
      <c r="I172">
        <v>1.08932461873638E-2</v>
      </c>
      <c r="J172" s="2">
        <f>RANK(I172,$I$2:$I$245)</f>
        <v>171</v>
      </c>
      <c r="K172">
        <v>1</v>
      </c>
      <c r="L172">
        <v>2.2799999999999998</v>
      </c>
      <c r="M172" s="2">
        <f>I172/(L172+0.0001)</f>
        <v>4.7775300150711816E-3</v>
      </c>
      <c r="N172" s="2">
        <f>RANK(M172,$M$2:$M$245)</f>
        <v>98</v>
      </c>
      <c r="O172" s="2">
        <v>8.67237755812038E-3</v>
      </c>
      <c r="P172" s="2">
        <f>RANK(O172,$O$2:$O$245)</f>
        <v>168</v>
      </c>
    </row>
    <row r="173" spans="1:16" x14ac:dyDescent="0.2">
      <c r="A173" t="s">
        <v>26</v>
      </c>
      <c r="B173" t="s">
        <v>24</v>
      </c>
      <c r="C173">
        <v>1</v>
      </c>
      <c r="D173">
        <v>50</v>
      </c>
      <c r="E173">
        <v>0</v>
      </c>
      <c r="F173">
        <v>0</v>
      </c>
      <c r="G173" t="s">
        <v>18</v>
      </c>
      <c r="H173" t="s">
        <v>22</v>
      </c>
      <c r="I173">
        <v>1.0883761427949499E-2</v>
      </c>
      <c r="J173" s="2">
        <f>RANK(I173,$I$2:$I$245)</f>
        <v>172</v>
      </c>
      <c r="K173">
        <v>1</v>
      </c>
      <c r="L173">
        <v>1.6</v>
      </c>
      <c r="M173" s="2">
        <f>I173/(L173+0.0001)</f>
        <v>6.8019257721076802E-3</v>
      </c>
      <c r="N173" s="2">
        <f>RANK(M173,$M$2:$M$245)</f>
        <v>30</v>
      </c>
      <c r="O173" s="2">
        <f>I173*EXP(-0.01*L173)</f>
        <v>1.0711006966209025E-2</v>
      </c>
      <c r="P173" s="2">
        <f>RANK(O173,$O$2:$O$245)</f>
        <v>82</v>
      </c>
    </row>
    <row r="174" spans="1:16" x14ac:dyDescent="0.2">
      <c r="A174" t="s">
        <v>26</v>
      </c>
      <c r="B174" t="s">
        <v>25</v>
      </c>
      <c r="C174">
        <v>2</v>
      </c>
      <c r="D174">
        <v>50</v>
      </c>
      <c r="E174">
        <v>2</v>
      </c>
      <c r="F174">
        <v>50</v>
      </c>
      <c r="G174" t="s">
        <v>18</v>
      </c>
      <c r="H174" t="s">
        <v>19</v>
      </c>
      <c r="I174">
        <v>1.08827091055129E-2</v>
      </c>
      <c r="J174" s="2">
        <f>RANK(I174,$I$2:$I$245)</f>
        <v>173</v>
      </c>
      <c r="K174">
        <v>1</v>
      </c>
      <c r="L174">
        <v>3.08</v>
      </c>
      <c r="M174" s="2">
        <f>I174/(L174+0.0001)</f>
        <v>3.5332323968419528E-3</v>
      </c>
      <c r="N174" s="2">
        <f>RANK(M174,$M$2:$M$245)</f>
        <v>151</v>
      </c>
      <c r="O174">
        <f>I174*EXP(-0.01*L174)</f>
        <v>1.0552630961840623E-2</v>
      </c>
      <c r="P174" s="2">
        <f>RANK(O174,$O$2:$O$245)</f>
        <v>112</v>
      </c>
    </row>
    <row r="175" spans="1:16" x14ac:dyDescent="0.2">
      <c r="A175" t="s">
        <v>26</v>
      </c>
      <c r="B175" t="s">
        <v>24</v>
      </c>
      <c r="C175">
        <v>1</v>
      </c>
      <c r="D175">
        <v>50</v>
      </c>
      <c r="E175">
        <v>1</v>
      </c>
      <c r="F175">
        <v>50</v>
      </c>
      <c r="G175" t="s">
        <v>23</v>
      </c>
      <c r="H175" t="s">
        <v>22</v>
      </c>
      <c r="I175">
        <v>1.08813928182807E-2</v>
      </c>
      <c r="J175" s="2">
        <f>RANK(I175,$I$2:$I$245)</f>
        <v>174</v>
      </c>
      <c r="K175">
        <v>1</v>
      </c>
      <c r="L175">
        <v>3.02</v>
      </c>
      <c r="M175" s="2">
        <f>I175/(L175+0.0001)</f>
        <v>3.6029909003942582E-3</v>
      </c>
      <c r="N175" s="2">
        <f>RANK(M175,$M$2:$M$245)</f>
        <v>145</v>
      </c>
      <c r="O175" s="2">
        <v>8.0450279095705002E-3</v>
      </c>
      <c r="P175" s="2">
        <f>RANK(O175,$O$2:$O$245)</f>
        <v>183</v>
      </c>
    </row>
    <row r="176" spans="1:16" x14ac:dyDescent="0.2">
      <c r="A176" t="s">
        <v>26</v>
      </c>
      <c r="B176" t="s">
        <v>25</v>
      </c>
      <c r="C176">
        <v>1</v>
      </c>
      <c r="D176">
        <v>50</v>
      </c>
      <c r="E176">
        <v>0</v>
      </c>
      <c r="F176">
        <v>0</v>
      </c>
      <c r="G176" t="s">
        <v>23</v>
      </c>
      <c r="H176" t="s">
        <v>19</v>
      </c>
      <c r="I176">
        <v>1.08750837201908E-2</v>
      </c>
      <c r="J176" s="2">
        <f>RANK(I176,$I$2:$I$245)</f>
        <v>175</v>
      </c>
      <c r="K176">
        <v>1</v>
      </c>
      <c r="L176">
        <v>2.12</v>
      </c>
      <c r="M176" s="2">
        <f>I176/(L176+0.0001)</f>
        <v>5.1295145135563406E-3</v>
      </c>
      <c r="N176" s="2">
        <f>RANK(M176,$M$2:$M$245)</f>
        <v>88</v>
      </c>
      <c r="O176">
        <v>8.7975588127145194E-3</v>
      </c>
      <c r="P176" s="2">
        <f>RANK(O176,$O$2:$O$245)</f>
        <v>160</v>
      </c>
    </row>
    <row r="177" spans="1:21" x14ac:dyDescent="0.2">
      <c r="A177" t="s">
        <v>26</v>
      </c>
      <c r="B177" t="s">
        <v>25</v>
      </c>
      <c r="C177">
        <v>1</v>
      </c>
      <c r="D177">
        <v>37</v>
      </c>
      <c r="E177">
        <v>1</v>
      </c>
      <c r="F177">
        <v>37</v>
      </c>
      <c r="G177" t="s">
        <v>18</v>
      </c>
      <c r="H177" t="s">
        <v>22</v>
      </c>
      <c r="I177">
        <v>1.08742931709439E-2</v>
      </c>
      <c r="J177" s="2">
        <f>RANK(I177,$I$2:$I$245)</f>
        <v>176</v>
      </c>
      <c r="K177">
        <v>1</v>
      </c>
      <c r="L177">
        <v>3.28</v>
      </c>
      <c r="M177" s="2">
        <f>I177/(L177+0.0001)</f>
        <v>3.315232209671626E-3</v>
      </c>
      <c r="N177" s="2">
        <f>RANK(M177,$M$2:$M$245)</f>
        <v>165</v>
      </c>
      <c r="O177">
        <f>I177*EXP(-0.01*L177)</f>
        <v>1.0523402421194129E-2</v>
      </c>
      <c r="P177" s="2">
        <f>RANK(O177,$O$2:$O$245)</f>
        <v>119</v>
      </c>
    </row>
    <row r="178" spans="1:21" x14ac:dyDescent="0.2">
      <c r="A178" t="s">
        <v>26</v>
      </c>
      <c r="B178" t="s">
        <v>24</v>
      </c>
      <c r="C178">
        <v>2</v>
      </c>
      <c r="D178">
        <v>50</v>
      </c>
      <c r="E178">
        <v>2</v>
      </c>
      <c r="F178">
        <v>50</v>
      </c>
      <c r="G178" t="s">
        <v>18</v>
      </c>
      <c r="H178" t="s">
        <v>19</v>
      </c>
      <c r="I178">
        <v>1.0872951752703299E-2</v>
      </c>
      <c r="J178" s="2">
        <f>RANK(I178,$I$2:$I$245)</f>
        <v>177</v>
      </c>
      <c r="K178">
        <v>1</v>
      </c>
      <c r="L178">
        <v>2.92</v>
      </c>
      <c r="M178" s="2">
        <f>I178/(L178+0.0001)</f>
        <v>3.7234860972923185E-3</v>
      </c>
      <c r="N178" s="2">
        <f>RANK(M178,$M$2:$M$245)</f>
        <v>136</v>
      </c>
      <c r="O178" s="2">
        <f>I178*EXP(-0.01*L178)</f>
        <v>1.0560052128286233E-2</v>
      </c>
      <c r="P178" s="2">
        <f>RANK(O178,$O$2:$O$245)</f>
        <v>109</v>
      </c>
    </row>
    <row r="179" spans="1:21" x14ac:dyDescent="0.2">
      <c r="A179" t="s">
        <v>26</v>
      </c>
      <c r="B179" t="s">
        <v>24</v>
      </c>
      <c r="C179">
        <v>2</v>
      </c>
      <c r="D179">
        <v>75</v>
      </c>
      <c r="E179">
        <v>0</v>
      </c>
      <c r="F179">
        <v>0</v>
      </c>
      <c r="G179" t="s">
        <v>18</v>
      </c>
      <c r="H179" t="s">
        <v>22</v>
      </c>
      <c r="I179">
        <v>1.0869565217391301E-2</v>
      </c>
      <c r="J179" s="2">
        <f>RANK(I179,$I$2:$I$245)</f>
        <v>178</v>
      </c>
      <c r="K179">
        <v>1</v>
      </c>
      <c r="L179">
        <v>1.6</v>
      </c>
      <c r="M179" s="2">
        <f>I179/(L179+0.0001)</f>
        <v>6.7930536950136242E-3</v>
      </c>
      <c r="N179" s="2">
        <f>RANK(M179,$M$2:$M$245)</f>
        <v>31</v>
      </c>
      <c r="O179">
        <f>I179*EXP(-0.01*L179)</f>
        <v>1.0697036087557444E-2</v>
      </c>
      <c r="P179" s="2">
        <f>RANK(O179,$O$2:$O$245)</f>
        <v>83</v>
      </c>
    </row>
    <row r="180" spans="1:21" x14ac:dyDescent="0.2">
      <c r="A180" t="s">
        <v>26</v>
      </c>
      <c r="B180" t="s">
        <v>24</v>
      </c>
      <c r="C180">
        <v>2</v>
      </c>
      <c r="D180">
        <v>100</v>
      </c>
      <c r="E180">
        <v>0</v>
      </c>
      <c r="F180">
        <v>0</v>
      </c>
      <c r="G180" t="s">
        <v>18</v>
      </c>
      <c r="H180" t="s">
        <v>22</v>
      </c>
      <c r="I180">
        <v>1.0869565217391301E-2</v>
      </c>
      <c r="J180" s="2">
        <f>RANK(I180,$I$2:$I$245)</f>
        <v>178</v>
      </c>
      <c r="K180">
        <v>1</v>
      </c>
      <c r="L180">
        <v>1.6</v>
      </c>
      <c r="M180" s="2">
        <f>I180/(L180+0.0001)</f>
        <v>6.7930536950136242E-3</v>
      </c>
      <c r="N180" s="2">
        <f>RANK(M180,$M$2:$M$245)</f>
        <v>31</v>
      </c>
      <c r="O180">
        <f>I180*EXP(-0.01*L180)</f>
        <v>1.0697036087557444E-2</v>
      </c>
      <c r="P180" s="2">
        <f>RANK(O180,$O$2:$O$245)</f>
        <v>83</v>
      </c>
    </row>
    <row r="181" spans="1:21" x14ac:dyDescent="0.2">
      <c r="A181" t="s">
        <v>26</v>
      </c>
      <c r="B181" t="s">
        <v>24</v>
      </c>
      <c r="C181">
        <v>1</v>
      </c>
      <c r="D181">
        <v>37</v>
      </c>
      <c r="E181">
        <v>1</v>
      </c>
      <c r="F181">
        <v>37</v>
      </c>
      <c r="G181" t="s">
        <v>18</v>
      </c>
      <c r="H181" t="s">
        <v>22</v>
      </c>
      <c r="I181">
        <v>1.0869565217391301E-2</v>
      </c>
      <c r="J181" s="2">
        <f>RANK(I181,$I$2:$I$245)</f>
        <v>178</v>
      </c>
      <c r="K181">
        <v>1</v>
      </c>
      <c r="L181">
        <v>2.88</v>
      </c>
      <c r="M181" s="2">
        <f>I181/(L181+0.0001)</f>
        <v>3.7740235468877122E-3</v>
      </c>
      <c r="N181" s="2">
        <f>RANK(M181,$M$2:$M$245)</f>
        <v>130</v>
      </c>
      <c r="O181">
        <f>I181*EXP(-0.01*L181)</f>
        <v>1.0560986599881765E-2</v>
      </c>
      <c r="P181" s="2">
        <f>RANK(O181,$O$2:$O$245)</f>
        <v>108</v>
      </c>
    </row>
    <row r="182" spans="1:21" x14ac:dyDescent="0.2">
      <c r="A182" t="s">
        <v>26</v>
      </c>
      <c r="B182" t="s">
        <v>25</v>
      </c>
      <c r="C182">
        <v>2</v>
      </c>
      <c r="D182">
        <v>75</v>
      </c>
      <c r="E182">
        <v>0</v>
      </c>
      <c r="F182">
        <v>0</v>
      </c>
      <c r="G182" t="s">
        <v>23</v>
      </c>
      <c r="H182" t="s">
        <v>19</v>
      </c>
      <c r="I182">
        <v>1.08684522599181E-2</v>
      </c>
      <c r="J182" s="2">
        <f>RANK(I182,$I$2:$I$245)</f>
        <v>181</v>
      </c>
      <c r="K182">
        <v>1</v>
      </c>
      <c r="L182">
        <v>2.1</v>
      </c>
      <c r="M182" s="2">
        <f>I182/(L182+0.0001)</f>
        <v>5.1752070186743956E-3</v>
      </c>
      <c r="N182" s="2">
        <f>RANK(M182,$M$2:$M$245)</f>
        <v>82</v>
      </c>
      <c r="O182">
        <v>8.8097961799686892E-3</v>
      </c>
      <c r="P182" s="2">
        <f>RANK(O182,$O$2:$O$245)</f>
        <v>159</v>
      </c>
    </row>
    <row r="183" spans="1:21" x14ac:dyDescent="0.2">
      <c r="A183" t="s">
        <v>26</v>
      </c>
      <c r="B183" t="s">
        <v>25</v>
      </c>
      <c r="C183">
        <v>5</v>
      </c>
      <c r="D183">
        <v>75</v>
      </c>
      <c r="E183">
        <v>0</v>
      </c>
      <c r="F183">
        <v>0</v>
      </c>
      <c r="G183" t="s">
        <v>18</v>
      </c>
      <c r="H183" t="s">
        <v>19</v>
      </c>
      <c r="I183">
        <v>1.0868358527901301E-2</v>
      </c>
      <c r="J183" s="2">
        <f>RANK(I183,$I$2:$I$245)</f>
        <v>182</v>
      </c>
      <c r="K183">
        <v>1</v>
      </c>
      <c r="L183">
        <v>1.68</v>
      </c>
      <c r="M183" s="2">
        <f>I183/(L183+0.0001)</f>
        <v>6.4688759763712285E-3</v>
      </c>
      <c r="N183" s="2">
        <f>RANK(M183,$M$2:$M$245)</f>
        <v>38</v>
      </c>
      <c r="O183">
        <f>I183*EXP(-0.01*L183)</f>
        <v>1.0687295294381347E-2</v>
      </c>
      <c r="P183" s="2">
        <f>RANK(O183,$O$2:$O$245)</f>
        <v>86</v>
      </c>
    </row>
    <row r="184" spans="1:21" x14ac:dyDescent="0.2">
      <c r="A184" t="s">
        <v>26</v>
      </c>
      <c r="B184" t="s">
        <v>24</v>
      </c>
      <c r="C184">
        <v>1</v>
      </c>
      <c r="D184">
        <v>50</v>
      </c>
      <c r="E184">
        <v>1</v>
      </c>
      <c r="F184">
        <v>50</v>
      </c>
      <c r="G184" t="s">
        <v>23</v>
      </c>
      <c r="H184" t="s">
        <v>19</v>
      </c>
      <c r="I184">
        <v>1.0866143626334699E-2</v>
      </c>
      <c r="J184" s="2">
        <f>RANK(I184,$I$2:$I$245)</f>
        <v>183</v>
      </c>
      <c r="K184">
        <v>1</v>
      </c>
      <c r="L184">
        <v>2.88</v>
      </c>
      <c r="M184" s="2">
        <f>I184/(L184+0.0001)</f>
        <v>3.7728355356878925E-3</v>
      </c>
      <c r="N184" s="2">
        <f>RANK(M184,$M$2:$M$245)</f>
        <v>131</v>
      </c>
      <c r="O184">
        <v>8.1470171467788108E-3</v>
      </c>
      <c r="P184" s="2">
        <f>RANK(O184,$O$2:$O$245)</f>
        <v>180</v>
      </c>
    </row>
    <row r="185" spans="1:21" x14ac:dyDescent="0.2">
      <c r="A185" t="s">
        <v>26</v>
      </c>
      <c r="B185" t="s">
        <v>25</v>
      </c>
      <c r="C185">
        <v>1</v>
      </c>
      <c r="D185">
        <v>37</v>
      </c>
      <c r="E185">
        <v>1</v>
      </c>
      <c r="F185">
        <v>37</v>
      </c>
      <c r="G185" t="s">
        <v>18</v>
      </c>
      <c r="H185" t="s">
        <v>19</v>
      </c>
      <c r="I185">
        <v>1.08549194588703E-2</v>
      </c>
      <c r="J185" s="2">
        <f>RANK(I185,$I$2:$I$245)</f>
        <v>184</v>
      </c>
      <c r="K185">
        <v>1</v>
      </c>
      <c r="L185">
        <v>3.16</v>
      </c>
      <c r="M185" s="2">
        <f>I185/(L185+0.0001)</f>
        <v>3.4349923922883134E-3</v>
      </c>
      <c r="N185" s="2">
        <f>RANK(M185,$M$2:$M$245)</f>
        <v>157</v>
      </c>
      <c r="O185">
        <f>I185*EXP(-0.01*L185)</f>
        <v>1.0517267009390017E-2</v>
      </c>
      <c r="P185" s="2">
        <f>RANK(O185,$O$2:$O$245)</f>
        <v>121</v>
      </c>
    </row>
    <row r="186" spans="1:21" x14ac:dyDescent="0.2">
      <c r="A186" t="s">
        <v>26</v>
      </c>
      <c r="B186" t="s">
        <v>24</v>
      </c>
      <c r="C186">
        <v>1</v>
      </c>
      <c r="D186">
        <v>37</v>
      </c>
      <c r="E186">
        <v>1</v>
      </c>
      <c r="F186">
        <v>37</v>
      </c>
      <c r="G186" t="s">
        <v>18</v>
      </c>
      <c r="H186" t="s">
        <v>19</v>
      </c>
      <c r="I186">
        <v>1.08534861298681E-2</v>
      </c>
      <c r="J186" s="2">
        <f>RANK(I186,$I$2:$I$245)</f>
        <v>185</v>
      </c>
      <c r="K186">
        <v>1</v>
      </c>
      <c r="L186">
        <v>2.78</v>
      </c>
      <c r="M186" s="2">
        <f>I186/(L186+0.0001)</f>
        <v>3.9039912700507533E-3</v>
      </c>
      <c r="N186" s="2">
        <f>RANK(M186,$M$2:$M$245)</f>
        <v>120</v>
      </c>
      <c r="O186">
        <f>I186*EXP(-0.01*L186)</f>
        <v>1.0555914623742958E-2</v>
      </c>
      <c r="P186" s="2">
        <f>RANK(O186,$O$2:$O$245)</f>
        <v>111</v>
      </c>
      <c r="S186" s="2"/>
      <c r="U186" s="2"/>
    </row>
    <row r="187" spans="1:21" x14ac:dyDescent="0.2">
      <c r="A187" t="s">
        <v>26</v>
      </c>
      <c r="B187" t="s">
        <v>24</v>
      </c>
      <c r="C187">
        <v>1</v>
      </c>
      <c r="D187">
        <v>50</v>
      </c>
      <c r="E187">
        <v>0</v>
      </c>
      <c r="F187">
        <v>0</v>
      </c>
      <c r="G187" t="s">
        <v>18</v>
      </c>
      <c r="H187" t="s">
        <v>19</v>
      </c>
      <c r="I187">
        <v>1.08485398377946E-2</v>
      </c>
      <c r="J187" s="2">
        <f>RANK(I187,$I$2:$I$245)</f>
        <v>186</v>
      </c>
      <c r="K187">
        <v>1</v>
      </c>
      <c r="L187">
        <v>1.46</v>
      </c>
      <c r="M187" s="2">
        <f>I187/(L187+0.0001)</f>
        <v>7.4299978342542298E-3</v>
      </c>
      <c r="N187" s="2">
        <f>RANK(M187,$M$2:$M$245)</f>
        <v>19</v>
      </c>
      <c r="O187">
        <f>I187*EXP(-0.01*L187)</f>
        <v>1.0691301786995618E-2</v>
      </c>
      <c r="P187" s="2">
        <f>RANK(O187,$O$2:$O$245)</f>
        <v>85</v>
      </c>
      <c r="U187" s="2"/>
    </row>
    <row r="188" spans="1:21" x14ac:dyDescent="0.2">
      <c r="A188" t="s">
        <v>26</v>
      </c>
      <c r="B188" t="s">
        <v>25</v>
      </c>
      <c r="C188">
        <v>1</v>
      </c>
      <c r="D188">
        <v>50</v>
      </c>
      <c r="E188">
        <v>0</v>
      </c>
      <c r="F188">
        <v>0</v>
      </c>
      <c r="G188" t="s">
        <v>18</v>
      </c>
      <c r="H188" t="s">
        <v>22</v>
      </c>
      <c r="I188">
        <v>1.08436347863804E-2</v>
      </c>
      <c r="J188" s="2">
        <f>RANK(I188,$I$2:$I$245)</f>
        <v>187</v>
      </c>
      <c r="K188">
        <v>1</v>
      </c>
      <c r="L188">
        <v>1.9</v>
      </c>
      <c r="M188" s="2">
        <f>I188/(L188+0.0001)</f>
        <v>5.7068758414717119E-3</v>
      </c>
      <c r="N188" s="2">
        <f>RANK(M188,$M$2:$M$245)</f>
        <v>64</v>
      </c>
      <c r="O188">
        <f>I188*EXP(-0.01*L188)</f>
        <v>1.0639550664094626E-2</v>
      </c>
      <c r="P188" s="2">
        <f>RANK(O188,$O$2:$O$245)</f>
        <v>99</v>
      </c>
      <c r="U188" s="2"/>
    </row>
    <row r="189" spans="1:21" x14ac:dyDescent="0.2">
      <c r="A189" t="s">
        <v>26</v>
      </c>
      <c r="B189" t="s">
        <v>25</v>
      </c>
      <c r="C189">
        <v>1</v>
      </c>
      <c r="D189">
        <v>50</v>
      </c>
      <c r="E189">
        <v>1</v>
      </c>
      <c r="F189">
        <v>50</v>
      </c>
      <c r="G189" t="s">
        <v>23</v>
      </c>
      <c r="H189" t="s">
        <v>22</v>
      </c>
      <c r="I189">
        <v>1.0838933448948601E-2</v>
      </c>
      <c r="J189" s="2">
        <f>RANK(I189,$I$2:$I$245)</f>
        <v>188</v>
      </c>
      <c r="K189">
        <v>1</v>
      </c>
      <c r="L189">
        <v>3.42</v>
      </c>
      <c r="M189" s="2">
        <f>I189/(L189+0.0001)</f>
        <v>3.1691861199814628E-3</v>
      </c>
      <c r="N189" s="2">
        <f>RANK(M189,$M$2:$M$245)</f>
        <v>176</v>
      </c>
      <c r="O189">
        <v>7.6994169164228904E-3</v>
      </c>
      <c r="P189" s="2">
        <f>RANK(O189,$O$2:$O$245)</f>
        <v>200</v>
      </c>
    </row>
    <row r="190" spans="1:21" x14ac:dyDescent="0.2">
      <c r="A190" t="s">
        <v>26</v>
      </c>
      <c r="B190" t="s">
        <v>24</v>
      </c>
      <c r="C190">
        <v>1</v>
      </c>
      <c r="D190">
        <v>75</v>
      </c>
      <c r="E190">
        <v>0</v>
      </c>
      <c r="F190">
        <v>0</v>
      </c>
      <c r="G190" t="s">
        <v>18</v>
      </c>
      <c r="H190" t="s">
        <v>22</v>
      </c>
      <c r="I190">
        <v>1.0836584308625901E-2</v>
      </c>
      <c r="J190" s="2">
        <f>RANK(I190,$I$2:$I$245)</f>
        <v>189</v>
      </c>
      <c r="K190">
        <v>1</v>
      </c>
      <c r="L190">
        <v>1.64</v>
      </c>
      <c r="M190" s="2">
        <f>I190/(L190+0.0001)</f>
        <v>6.6072704765721005E-3</v>
      </c>
      <c r="N190" s="2">
        <f>RANK(M190,$M$2:$M$245)</f>
        <v>34</v>
      </c>
      <c r="O190">
        <f>I190*EXP(-0.01*L190)</f>
        <v>1.0660313695784032E-2</v>
      </c>
      <c r="P190" s="2">
        <f>RANK(O190,$O$2:$O$245)</f>
        <v>90</v>
      </c>
      <c r="R190" s="2"/>
    </row>
    <row r="191" spans="1:21" x14ac:dyDescent="0.2">
      <c r="A191" t="s">
        <v>26</v>
      </c>
      <c r="B191" t="s">
        <v>24</v>
      </c>
      <c r="C191">
        <v>1</v>
      </c>
      <c r="D191">
        <v>100</v>
      </c>
      <c r="E191">
        <v>0</v>
      </c>
      <c r="F191">
        <v>0</v>
      </c>
      <c r="G191" t="s">
        <v>18</v>
      </c>
      <c r="H191" t="s">
        <v>22</v>
      </c>
      <c r="I191">
        <v>1.0836584308625901E-2</v>
      </c>
      <c r="J191" s="2">
        <f>RANK(I191,$I$2:$I$245)</f>
        <v>189</v>
      </c>
      <c r="K191">
        <v>1</v>
      </c>
      <c r="L191">
        <v>1.64</v>
      </c>
      <c r="M191" s="2">
        <f>I191/(L191+0.0001)</f>
        <v>6.6072704765721005E-3</v>
      </c>
      <c r="N191" s="2">
        <f>RANK(M191,$M$2:$M$245)</f>
        <v>34</v>
      </c>
      <c r="O191">
        <f>I191*EXP(-0.01*L191)</f>
        <v>1.0660313695784032E-2</v>
      </c>
      <c r="P191" s="2">
        <f>RANK(O191,$O$2:$O$245)</f>
        <v>90</v>
      </c>
      <c r="R191" s="2"/>
    </row>
    <row r="192" spans="1:21" x14ac:dyDescent="0.2">
      <c r="A192" t="s">
        <v>26</v>
      </c>
      <c r="B192" t="s">
        <v>24</v>
      </c>
      <c r="C192">
        <v>2</v>
      </c>
      <c r="D192">
        <v>75</v>
      </c>
      <c r="E192">
        <v>0</v>
      </c>
      <c r="F192">
        <v>0</v>
      </c>
      <c r="G192" t="s">
        <v>18</v>
      </c>
      <c r="H192" t="s">
        <v>19</v>
      </c>
      <c r="I192">
        <v>1.08312509457659E-2</v>
      </c>
      <c r="J192" s="2">
        <f>RANK(I192,$I$2:$I$245)</f>
        <v>191</v>
      </c>
      <c r="K192">
        <v>1</v>
      </c>
      <c r="L192">
        <v>1.48</v>
      </c>
      <c r="M192" s="2">
        <f>I192/(L192+0.0001)</f>
        <v>7.3179183472507937E-3</v>
      </c>
      <c r="N192" s="2">
        <f>RANK(M192,$M$2:$M$245)</f>
        <v>20</v>
      </c>
      <c r="O192">
        <f>I192*EXP(-0.01*L192)</f>
        <v>1.0672128839850576E-2</v>
      </c>
      <c r="P192" s="2">
        <f>RANK(O192,$O$2:$O$245)</f>
        <v>87</v>
      </c>
    </row>
    <row r="193" spans="1:16" x14ac:dyDescent="0.2">
      <c r="A193" t="s">
        <v>26</v>
      </c>
      <c r="B193" t="s">
        <v>25</v>
      </c>
      <c r="C193">
        <v>1</v>
      </c>
      <c r="D193">
        <v>50</v>
      </c>
      <c r="E193">
        <v>1</v>
      </c>
      <c r="F193">
        <v>50</v>
      </c>
      <c r="G193" t="s">
        <v>23</v>
      </c>
      <c r="H193" t="s">
        <v>19</v>
      </c>
      <c r="I193">
        <v>1.08305299255158E-2</v>
      </c>
      <c r="J193" s="2">
        <f>RANK(I193,$I$2:$I$245)</f>
        <v>192</v>
      </c>
      <c r="K193">
        <v>1</v>
      </c>
      <c r="L193">
        <v>3.24</v>
      </c>
      <c r="M193" s="2">
        <f>I193/(L193+0.0001)</f>
        <v>3.3426529815486555E-3</v>
      </c>
      <c r="N193" s="2">
        <f>RANK(M193,$M$2:$M$245)</f>
        <v>163</v>
      </c>
      <c r="O193">
        <v>7.8331833937314403E-3</v>
      </c>
      <c r="P193" s="2">
        <f>RANK(O193,$O$2:$O$245)</f>
        <v>193</v>
      </c>
    </row>
    <row r="194" spans="1:16" x14ac:dyDescent="0.2">
      <c r="A194" t="s">
        <v>26</v>
      </c>
      <c r="B194" t="s">
        <v>24</v>
      </c>
      <c r="C194">
        <v>2</v>
      </c>
      <c r="D194">
        <v>100</v>
      </c>
      <c r="E194">
        <v>0</v>
      </c>
      <c r="F194">
        <v>0</v>
      </c>
      <c r="G194" t="s">
        <v>18</v>
      </c>
      <c r="H194" t="s">
        <v>19</v>
      </c>
      <c r="I194">
        <v>1.0830337184657399E-2</v>
      </c>
      <c r="J194" s="2">
        <f>RANK(I194,$I$2:$I$245)</f>
        <v>193</v>
      </c>
      <c r="K194">
        <v>1</v>
      </c>
      <c r="L194">
        <v>1.48</v>
      </c>
      <c r="M194" s="2">
        <f>I194/(L194+0.0001)</f>
        <v>7.3173009828102148E-3</v>
      </c>
      <c r="N194" s="2">
        <f>RANK(M194,$M$2:$M$245)</f>
        <v>21</v>
      </c>
      <c r="O194">
        <f>I194*EXP(-0.01*L194)</f>
        <v>1.0671228502823246E-2</v>
      </c>
      <c r="P194" s="2">
        <f>RANK(O194,$O$2:$O$245)</f>
        <v>88</v>
      </c>
    </row>
    <row r="195" spans="1:16" x14ac:dyDescent="0.2">
      <c r="A195" t="s">
        <v>26</v>
      </c>
      <c r="B195" t="s">
        <v>25</v>
      </c>
      <c r="C195">
        <v>1</v>
      </c>
      <c r="D195">
        <v>50</v>
      </c>
      <c r="E195">
        <v>0</v>
      </c>
      <c r="F195">
        <v>0</v>
      </c>
      <c r="G195" t="s">
        <v>18</v>
      </c>
      <c r="H195" t="s">
        <v>19</v>
      </c>
      <c r="I195">
        <v>1.08295446106388E-2</v>
      </c>
      <c r="J195" s="2">
        <f>RANK(I195,$I$2:$I$245)</f>
        <v>194</v>
      </c>
      <c r="K195">
        <v>1</v>
      </c>
      <c r="L195">
        <v>1.76</v>
      </c>
      <c r="M195" s="2">
        <f>I195/(L195+0.0001)</f>
        <v>6.1528007560018184E-3</v>
      </c>
      <c r="N195" s="2">
        <f>RANK(M195,$M$2:$M$245)</f>
        <v>47</v>
      </c>
      <c r="O195" s="2">
        <f>I195*EXP(-0.01*L195)</f>
        <v>1.0640612108463182E-2</v>
      </c>
      <c r="P195" s="2">
        <f>RANK(O195,$O$2:$O$245)</f>
        <v>98</v>
      </c>
    </row>
    <row r="196" spans="1:16" x14ac:dyDescent="0.2">
      <c r="A196" t="s">
        <v>26</v>
      </c>
      <c r="B196" t="s">
        <v>25</v>
      </c>
      <c r="C196">
        <v>2</v>
      </c>
      <c r="D196">
        <v>75</v>
      </c>
      <c r="E196">
        <v>0</v>
      </c>
      <c r="F196">
        <v>0</v>
      </c>
      <c r="G196" t="s">
        <v>18</v>
      </c>
      <c r="H196" t="s">
        <v>22</v>
      </c>
      <c r="I196">
        <v>1.08295429932857E-2</v>
      </c>
      <c r="J196" s="2">
        <f>RANK(I196,$I$2:$I$245)</f>
        <v>195</v>
      </c>
      <c r="K196">
        <v>1</v>
      </c>
      <c r="L196">
        <v>1.9</v>
      </c>
      <c r="M196" s="2">
        <f>I196/(L196+0.0001)</f>
        <v>5.6994594985978111E-3</v>
      </c>
      <c r="N196" s="2">
        <f>RANK(M196,$M$2:$M$245)</f>
        <v>65</v>
      </c>
      <c r="O196">
        <f>I196*EXP(-0.01*L196)</f>
        <v>1.0625724087533111E-2</v>
      </c>
      <c r="P196" s="2">
        <f>RANK(O196,$O$2:$O$245)</f>
        <v>102</v>
      </c>
    </row>
    <row r="197" spans="1:16" x14ac:dyDescent="0.2">
      <c r="A197" t="s">
        <v>26</v>
      </c>
      <c r="B197" t="s">
        <v>24</v>
      </c>
      <c r="C197">
        <v>1</v>
      </c>
      <c r="D197">
        <v>50</v>
      </c>
      <c r="E197">
        <v>1</v>
      </c>
      <c r="F197">
        <v>50</v>
      </c>
      <c r="G197" t="s">
        <v>18</v>
      </c>
      <c r="H197" t="s">
        <v>22</v>
      </c>
      <c r="I197">
        <v>1.0827197921178E-2</v>
      </c>
      <c r="J197" s="2">
        <f>RANK(I197,$I$2:$I$245)</f>
        <v>196</v>
      </c>
      <c r="K197">
        <v>1</v>
      </c>
      <c r="L197">
        <v>2.88</v>
      </c>
      <c r="M197" s="2">
        <f>I197/(L197+0.0001)</f>
        <v>3.7593131909232319E-3</v>
      </c>
      <c r="N197" s="2">
        <f>RANK(M197,$M$2:$M$245)</f>
        <v>133</v>
      </c>
      <c r="O197">
        <f>I197*EXP(-0.01*L197)</f>
        <v>1.0519822078704232E-2</v>
      </c>
      <c r="P197" s="2">
        <f>RANK(O197,$O$2:$O$245)</f>
        <v>120</v>
      </c>
    </row>
    <row r="198" spans="1:16" x14ac:dyDescent="0.2">
      <c r="A198" t="s">
        <v>26</v>
      </c>
      <c r="B198" t="s">
        <v>25</v>
      </c>
      <c r="C198">
        <v>1</v>
      </c>
      <c r="D198">
        <v>50</v>
      </c>
      <c r="E198">
        <v>1</v>
      </c>
      <c r="F198">
        <v>50</v>
      </c>
      <c r="G198" t="s">
        <v>18</v>
      </c>
      <c r="H198" t="s">
        <v>22</v>
      </c>
      <c r="I198">
        <v>1.0817827780181701E-2</v>
      </c>
      <c r="J198" s="2">
        <f>RANK(I198,$I$2:$I$245)</f>
        <v>197</v>
      </c>
      <c r="K198">
        <v>1</v>
      </c>
      <c r="L198">
        <v>3.18</v>
      </c>
      <c r="M198" s="2">
        <f>I198/(L198+0.0001)</f>
        <v>3.4017256627721453E-3</v>
      </c>
      <c r="N198" s="2">
        <f>RANK(M198,$M$2:$M$245)</f>
        <v>158</v>
      </c>
      <c r="O198">
        <f>I198*EXP(-0.01*L198)</f>
        <v>1.0479233045943672E-2</v>
      </c>
      <c r="P198" s="2">
        <f>RANK(O198,$O$2:$O$245)</f>
        <v>124</v>
      </c>
    </row>
    <row r="199" spans="1:16" x14ac:dyDescent="0.2">
      <c r="A199" t="s">
        <v>26</v>
      </c>
      <c r="B199" t="s">
        <v>24</v>
      </c>
      <c r="C199">
        <v>1</v>
      </c>
      <c r="D199">
        <v>50</v>
      </c>
      <c r="E199">
        <v>1</v>
      </c>
      <c r="F199">
        <v>50</v>
      </c>
      <c r="G199" t="s">
        <v>18</v>
      </c>
      <c r="H199" t="s">
        <v>19</v>
      </c>
      <c r="I199">
        <v>1.08156657118069E-2</v>
      </c>
      <c r="J199" s="2">
        <f>RANK(I199,$I$2:$I$245)</f>
        <v>198</v>
      </c>
      <c r="K199">
        <v>1</v>
      </c>
      <c r="L199">
        <v>2.84</v>
      </c>
      <c r="M199" s="2">
        <f>I199/(L199+0.0001)</f>
        <v>3.808198905604345E-3</v>
      </c>
      <c r="N199" s="2">
        <f>RANK(M199,$M$2:$M$245)</f>
        <v>129</v>
      </c>
      <c r="O199">
        <f>I199*EXP(-0.01*L199)</f>
        <v>1.0512821547615238E-2</v>
      </c>
      <c r="P199" s="2">
        <f>RANK(O199,$O$2:$O$245)</f>
        <v>122</v>
      </c>
    </row>
    <row r="200" spans="1:16" x14ac:dyDescent="0.2">
      <c r="A200" t="s">
        <v>26</v>
      </c>
      <c r="B200" t="s">
        <v>25</v>
      </c>
      <c r="C200">
        <v>1</v>
      </c>
      <c r="D200">
        <v>75</v>
      </c>
      <c r="E200">
        <v>0</v>
      </c>
      <c r="F200">
        <v>0</v>
      </c>
      <c r="G200" t="s">
        <v>23</v>
      </c>
      <c r="H200" t="s">
        <v>22</v>
      </c>
      <c r="I200">
        <v>1.08131487889273E-2</v>
      </c>
      <c r="J200" s="2">
        <f>RANK(I200,$I$2:$I$245)</f>
        <v>199</v>
      </c>
      <c r="K200">
        <v>1</v>
      </c>
      <c r="L200">
        <v>2.2200000000000002</v>
      </c>
      <c r="M200" s="2">
        <f>I200/(L200+0.0001)</f>
        <v>4.8705683477894227E-3</v>
      </c>
      <c r="N200" s="2">
        <f>RANK(M200,$M$2:$M$245)</f>
        <v>97</v>
      </c>
      <c r="O200" s="2">
        <v>8.6604170018885901E-3</v>
      </c>
      <c r="P200" s="2">
        <f>RANK(O200,$O$2:$O$245)</f>
        <v>171</v>
      </c>
    </row>
    <row r="201" spans="1:16" x14ac:dyDescent="0.2">
      <c r="A201" t="s">
        <v>26</v>
      </c>
      <c r="B201" t="s">
        <v>25</v>
      </c>
      <c r="C201">
        <v>1</v>
      </c>
      <c r="D201">
        <v>50</v>
      </c>
      <c r="E201">
        <v>1</v>
      </c>
      <c r="F201">
        <v>50</v>
      </c>
      <c r="G201" t="s">
        <v>18</v>
      </c>
      <c r="H201" t="s">
        <v>19</v>
      </c>
      <c r="I201">
        <v>1.08108323304655E-2</v>
      </c>
      <c r="J201" s="2">
        <f>RANK(I201,$I$2:$I$245)</f>
        <v>200</v>
      </c>
      <c r="K201">
        <v>1</v>
      </c>
      <c r="L201">
        <v>3.1</v>
      </c>
      <c r="M201" s="2">
        <f>I201/(L201+0.0001)</f>
        <v>3.4872527758670682E-3</v>
      </c>
      <c r="N201" s="2">
        <f>RANK(M201,$M$2:$M$245)</f>
        <v>154</v>
      </c>
      <c r="O201">
        <f>I201*EXP(-0.01*L201)</f>
        <v>1.048083786900687E-2</v>
      </c>
      <c r="P201" s="2">
        <f>RANK(O201,$O$2:$O$245)</f>
        <v>123</v>
      </c>
    </row>
    <row r="202" spans="1:16" x14ac:dyDescent="0.2">
      <c r="A202" t="s">
        <v>26</v>
      </c>
      <c r="B202" t="s">
        <v>24</v>
      </c>
      <c r="C202">
        <v>1</v>
      </c>
      <c r="D202">
        <v>75</v>
      </c>
      <c r="E202">
        <v>0</v>
      </c>
      <c r="F202">
        <v>0</v>
      </c>
      <c r="G202" t="s">
        <v>18</v>
      </c>
      <c r="H202" t="s">
        <v>19</v>
      </c>
      <c r="I202">
        <v>1.08097752301757E-2</v>
      </c>
      <c r="J202" s="2">
        <f>RANK(I202,$I$2:$I$245)</f>
        <v>201</v>
      </c>
      <c r="K202">
        <v>1</v>
      </c>
      <c r="L202">
        <v>1.52</v>
      </c>
      <c r="M202" s="2">
        <f>I202/(L202+0.0001)</f>
        <v>7.1112263865375303E-3</v>
      </c>
      <c r="N202" s="2">
        <f>RANK(M202,$M$2:$M$245)</f>
        <v>24</v>
      </c>
      <c r="O202" s="2">
        <f>I202*EXP(-0.01*L202)</f>
        <v>1.0646709088905368E-2</v>
      </c>
      <c r="P202" s="2">
        <f>RANK(O202,$O$2:$O$245)</f>
        <v>95</v>
      </c>
    </row>
    <row r="203" spans="1:16" x14ac:dyDescent="0.2">
      <c r="A203" t="s">
        <v>26</v>
      </c>
      <c r="B203" t="s">
        <v>24</v>
      </c>
      <c r="C203">
        <v>1</v>
      </c>
      <c r="D203">
        <v>100</v>
      </c>
      <c r="E203">
        <v>0</v>
      </c>
      <c r="F203">
        <v>0</v>
      </c>
      <c r="G203" t="s">
        <v>18</v>
      </c>
      <c r="H203" t="s">
        <v>19</v>
      </c>
      <c r="I203">
        <v>1.0809185552300701E-2</v>
      </c>
      <c r="J203" s="2">
        <f>RANK(I203,$I$2:$I$245)</f>
        <v>202</v>
      </c>
      <c r="K203">
        <v>1</v>
      </c>
      <c r="L203">
        <v>1.5</v>
      </c>
      <c r="M203" s="2">
        <f>I203/(L203+0.0001)</f>
        <v>7.2056433253121126E-3</v>
      </c>
      <c r="N203" s="2">
        <f>RANK(M203,$M$2:$M$245)</f>
        <v>22</v>
      </c>
      <c r="O203">
        <f>I203*EXP(-0.01*L203)</f>
        <v>1.0648257744956344E-2</v>
      </c>
      <c r="P203" s="2">
        <f>RANK(O203,$O$2:$O$245)</f>
        <v>94</v>
      </c>
    </row>
    <row r="204" spans="1:16" x14ac:dyDescent="0.2">
      <c r="A204" t="s">
        <v>26</v>
      </c>
      <c r="B204" t="s">
        <v>25</v>
      </c>
      <c r="C204">
        <v>1</v>
      </c>
      <c r="D204">
        <v>75</v>
      </c>
      <c r="E204">
        <v>0</v>
      </c>
      <c r="F204">
        <v>0</v>
      </c>
      <c r="G204" t="s">
        <v>23</v>
      </c>
      <c r="H204" t="s">
        <v>19</v>
      </c>
      <c r="I204">
        <v>1.08034496960584E-2</v>
      </c>
      <c r="J204" s="2">
        <f>RANK(I204,$I$2:$I$245)</f>
        <v>203</v>
      </c>
      <c r="K204">
        <v>1</v>
      </c>
      <c r="L204">
        <v>2.1</v>
      </c>
      <c r="M204" s="2">
        <f>I204/(L204+0.0001)</f>
        <v>5.1442548907472971E-3</v>
      </c>
      <c r="N204" s="2">
        <f>RANK(M204,$M$2:$M$245)</f>
        <v>87</v>
      </c>
      <c r="O204" s="2">
        <v>8.7571061257563504E-3</v>
      </c>
      <c r="P204" s="2">
        <f>RANK(O204,$O$2:$O$245)</f>
        <v>164</v>
      </c>
    </row>
    <row r="205" spans="1:16" x14ac:dyDescent="0.2">
      <c r="A205" t="s">
        <v>26</v>
      </c>
      <c r="B205" t="s">
        <v>25</v>
      </c>
      <c r="C205">
        <v>2</v>
      </c>
      <c r="D205">
        <v>75</v>
      </c>
      <c r="E205">
        <v>0</v>
      </c>
      <c r="F205">
        <v>0</v>
      </c>
      <c r="G205" t="s">
        <v>18</v>
      </c>
      <c r="H205" t="s">
        <v>19</v>
      </c>
      <c r="I205">
        <v>1.0798931819588299E-2</v>
      </c>
      <c r="J205" s="2">
        <f>RANK(I205,$I$2:$I$245)</f>
        <v>204</v>
      </c>
      <c r="K205">
        <v>1</v>
      </c>
      <c r="L205">
        <v>1.74</v>
      </c>
      <c r="M205" s="2">
        <f>I205/(L205+0.0001)</f>
        <v>6.2059259925224411E-3</v>
      </c>
      <c r="N205" s="2">
        <f>RANK(M205,$M$2:$M$245)</f>
        <v>46</v>
      </c>
      <c r="O205" s="2">
        <f>I205*EXP(-0.01*L205)</f>
        <v>1.061265570782241E-2</v>
      </c>
      <c r="P205" s="2">
        <f>RANK(O205,$O$2:$O$245)</f>
        <v>104</v>
      </c>
    </row>
    <row r="206" spans="1:16" x14ac:dyDescent="0.2">
      <c r="A206" t="s">
        <v>26</v>
      </c>
      <c r="B206" t="s">
        <v>25</v>
      </c>
      <c r="C206">
        <v>5</v>
      </c>
      <c r="D206">
        <v>100</v>
      </c>
      <c r="E206">
        <v>0</v>
      </c>
      <c r="F206">
        <v>0</v>
      </c>
      <c r="G206" t="s">
        <v>23</v>
      </c>
      <c r="H206" t="s">
        <v>22</v>
      </c>
      <c r="I206">
        <v>1.07874865156419E-2</v>
      </c>
      <c r="J206" s="2">
        <f>RANK(I206,$I$2:$I$245)</f>
        <v>205</v>
      </c>
      <c r="K206">
        <v>1</v>
      </c>
      <c r="L206">
        <v>2.02</v>
      </c>
      <c r="M206" s="2">
        <f>I206/(L206+0.0001)</f>
        <v>5.3400754990554416E-3</v>
      </c>
      <c r="N206" s="2">
        <f>RANK(M206,$M$2:$M$245)</f>
        <v>78</v>
      </c>
      <c r="O206" s="2">
        <v>8.8144005171762706E-3</v>
      </c>
      <c r="P206" s="2">
        <f>RANK(O206,$O$2:$O$245)</f>
        <v>158</v>
      </c>
    </row>
    <row r="207" spans="1:16" x14ac:dyDescent="0.2">
      <c r="A207" t="s">
        <v>26</v>
      </c>
      <c r="B207" t="s">
        <v>25</v>
      </c>
      <c r="C207">
        <v>1</v>
      </c>
      <c r="D207">
        <v>75</v>
      </c>
      <c r="E207">
        <v>0</v>
      </c>
      <c r="F207">
        <v>0</v>
      </c>
      <c r="G207" t="s">
        <v>18</v>
      </c>
      <c r="H207" t="s">
        <v>22</v>
      </c>
      <c r="I207">
        <v>1.0785159620362399E-2</v>
      </c>
      <c r="J207" s="2">
        <f>RANK(I207,$I$2:$I$245)</f>
        <v>206</v>
      </c>
      <c r="K207">
        <v>1</v>
      </c>
      <c r="L207">
        <v>1.9</v>
      </c>
      <c r="M207" s="2">
        <f>I207/(L207+0.0001)</f>
        <v>5.6761010580297878E-3</v>
      </c>
      <c r="N207" s="2">
        <f>RANK(M207,$M$2:$M$245)</f>
        <v>66</v>
      </c>
      <c r="O207">
        <f>I207*EXP(-0.01*L207)</f>
        <v>1.0582176037994042E-2</v>
      </c>
      <c r="P207" s="2">
        <f>RANK(O207,$O$2:$O$245)</f>
        <v>106</v>
      </c>
    </row>
    <row r="208" spans="1:16" x14ac:dyDescent="0.2">
      <c r="A208" t="s">
        <v>26</v>
      </c>
      <c r="B208" t="s">
        <v>25</v>
      </c>
      <c r="C208">
        <v>1</v>
      </c>
      <c r="D208">
        <v>75</v>
      </c>
      <c r="E208">
        <v>0</v>
      </c>
      <c r="F208">
        <v>0</v>
      </c>
      <c r="G208" t="s">
        <v>18</v>
      </c>
      <c r="H208" t="s">
        <v>19</v>
      </c>
      <c r="I208">
        <v>1.07714797386027E-2</v>
      </c>
      <c r="J208" s="2">
        <f>RANK(I208,$I$2:$I$245)</f>
        <v>207</v>
      </c>
      <c r="K208">
        <v>1</v>
      </c>
      <c r="L208">
        <v>1.76</v>
      </c>
      <c r="M208" s="2">
        <f>I208/(L208+0.0001)</f>
        <v>6.1198112258409754E-3</v>
      </c>
      <c r="N208" s="2">
        <f>RANK(M208,$M$2:$M$245)</f>
        <v>48</v>
      </c>
      <c r="O208">
        <f>I208*EXP(-0.01*L208)</f>
        <v>1.0583560237615655E-2</v>
      </c>
      <c r="P208" s="2">
        <f>RANK(O208,$O$2:$O$245)</f>
        <v>105</v>
      </c>
    </row>
    <row r="209" spans="1:16" x14ac:dyDescent="0.2">
      <c r="A209" t="s">
        <v>26</v>
      </c>
      <c r="B209" t="s">
        <v>25</v>
      </c>
      <c r="C209">
        <v>2</v>
      </c>
      <c r="D209">
        <v>100</v>
      </c>
      <c r="E209">
        <v>0</v>
      </c>
      <c r="F209">
        <v>0</v>
      </c>
      <c r="G209" t="s">
        <v>23</v>
      </c>
      <c r="H209" t="s">
        <v>22</v>
      </c>
      <c r="I209">
        <v>1.0768899418479401E-2</v>
      </c>
      <c r="J209" s="2">
        <f>RANK(I209,$I$2:$I$245)</f>
        <v>208</v>
      </c>
      <c r="K209">
        <v>1</v>
      </c>
      <c r="L209">
        <v>2.12</v>
      </c>
      <c r="M209" s="2">
        <f>I209/(L209+0.0001)</f>
        <v>5.0794299412666383E-3</v>
      </c>
      <c r="N209" s="2">
        <f>RANK(M209,$M$2:$M$245)</f>
        <v>90</v>
      </c>
      <c r="O209" s="2">
        <v>8.7116594611942409E-3</v>
      </c>
      <c r="P209" s="2">
        <f>RANK(O209,$O$2:$O$245)</f>
        <v>165</v>
      </c>
    </row>
    <row r="210" spans="1:16" x14ac:dyDescent="0.2">
      <c r="A210" t="s">
        <v>26</v>
      </c>
      <c r="B210" t="s">
        <v>25</v>
      </c>
      <c r="C210">
        <v>1</v>
      </c>
      <c r="D210">
        <v>100</v>
      </c>
      <c r="E210">
        <v>0</v>
      </c>
      <c r="F210">
        <v>0</v>
      </c>
      <c r="G210" t="s">
        <v>23</v>
      </c>
      <c r="H210" t="s">
        <v>22</v>
      </c>
      <c r="I210">
        <v>1.07573149741824E-2</v>
      </c>
      <c r="J210" s="2">
        <f>RANK(I210,$I$2:$I$245)</f>
        <v>209</v>
      </c>
      <c r="K210">
        <v>1</v>
      </c>
      <c r="L210">
        <v>2.16</v>
      </c>
      <c r="M210" s="2">
        <f>I210/(L210+0.0001)</f>
        <v>4.9800078580539784E-3</v>
      </c>
      <c r="N210" s="2">
        <f>RANK(M210,$M$2:$M$245)</f>
        <v>94</v>
      </c>
      <c r="O210">
        <v>8.6675484280709595E-3</v>
      </c>
      <c r="P210" s="2">
        <f>RANK(O210,$O$2:$O$245)</f>
        <v>169</v>
      </c>
    </row>
    <row r="211" spans="1:16" x14ac:dyDescent="0.2">
      <c r="A211" t="s">
        <v>26</v>
      </c>
      <c r="B211" t="s">
        <v>25</v>
      </c>
      <c r="C211">
        <v>5</v>
      </c>
      <c r="D211">
        <v>100</v>
      </c>
      <c r="E211">
        <v>0</v>
      </c>
      <c r="F211">
        <v>0</v>
      </c>
      <c r="G211" t="s">
        <v>23</v>
      </c>
      <c r="H211" t="s">
        <v>19</v>
      </c>
      <c r="I211">
        <v>1.07572746020999E-2</v>
      </c>
      <c r="J211" s="2">
        <f>RANK(I211,$I$2:$I$245)</f>
        <v>210</v>
      </c>
      <c r="K211">
        <v>1</v>
      </c>
      <c r="L211">
        <v>1.98</v>
      </c>
      <c r="M211" s="2">
        <f>I211/(L211+0.0001)</f>
        <v>5.4326925923437706E-3</v>
      </c>
      <c r="N211" s="2">
        <f>RANK(M211,$M$2:$M$245)</f>
        <v>74</v>
      </c>
      <c r="O211" s="2">
        <v>8.8249437854880097E-3</v>
      </c>
      <c r="P211" s="2">
        <f>RANK(O211,$O$2:$O$245)</f>
        <v>157</v>
      </c>
    </row>
    <row r="212" spans="1:16" x14ac:dyDescent="0.2">
      <c r="A212" t="s">
        <v>26</v>
      </c>
      <c r="B212" t="s">
        <v>25</v>
      </c>
      <c r="C212">
        <v>2</v>
      </c>
      <c r="D212">
        <v>100</v>
      </c>
      <c r="E212">
        <v>0</v>
      </c>
      <c r="F212">
        <v>0</v>
      </c>
      <c r="G212" t="s">
        <v>23</v>
      </c>
      <c r="H212" t="s">
        <v>19</v>
      </c>
      <c r="I212">
        <v>1.0752250132772799E-2</v>
      </c>
      <c r="J212" s="2">
        <f>RANK(I212,$I$2:$I$245)</f>
        <v>211</v>
      </c>
      <c r="K212">
        <v>1</v>
      </c>
      <c r="L212">
        <v>2.02</v>
      </c>
      <c r="M212" s="2">
        <f>I212/(L212+0.0001)</f>
        <v>5.3226326086692729E-3</v>
      </c>
      <c r="N212" s="2">
        <f>RANK(M212,$M$2:$M$245)</f>
        <v>79</v>
      </c>
      <c r="O212">
        <v>8.7856090474548905E-3</v>
      </c>
      <c r="P212" s="2">
        <f>RANK(O212,$O$2:$O$245)</f>
        <v>161</v>
      </c>
    </row>
    <row r="213" spans="1:16" x14ac:dyDescent="0.2">
      <c r="A213" t="s">
        <v>26</v>
      </c>
      <c r="B213" t="s">
        <v>25</v>
      </c>
      <c r="C213">
        <v>1</v>
      </c>
      <c r="D213">
        <v>100</v>
      </c>
      <c r="E213">
        <v>0</v>
      </c>
      <c r="F213">
        <v>0</v>
      </c>
      <c r="G213" t="s">
        <v>23</v>
      </c>
      <c r="H213" t="s">
        <v>19</v>
      </c>
      <c r="I213">
        <v>1.0747667428718599E-2</v>
      </c>
      <c r="J213" s="2">
        <f>RANK(I213,$I$2:$I$245)</f>
        <v>212</v>
      </c>
      <c r="K213">
        <v>1</v>
      </c>
      <c r="L213">
        <v>2.04</v>
      </c>
      <c r="M213" s="2">
        <f>I213/(L213+0.0001)</f>
        <v>5.2682061804414483E-3</v>
      </c>
      <c r="N213" s="2">
        <f>RANK(M213,$M$2:$M$245)</f>
        <v>81</v>
      </c>
      <c r="O213">
        <v>8.7643183661553006E-3</v>
      </c>
      <c r="P213" s="2">
        <f>RANK(O213,$O$2:$O$245)</f>
        <v>162</v>
      </c>
    </row>
    <row r="214" spans="1:16" x14ac:dyDescent="0.2">
      <c r="A214" t="s">
        <v>26</v>
      </c>
      <c r="B214" t="s">
        <v>25</v>
      </c>
      <c r="C214">
        <v>2</v>
      </c>
      <c r="D214">
        <v>100</v>
      </c>
      <c r="E214">
        <v>0</v>
      </c>
      <c r="F214">
        <v>0</v>
      </c>
      <c r="G214" t="s">
        <v>18</v>
      </c>
      <c r="H214" t="s">
        <v>19</v>
      </c>
      <c r="I214">
        <v>1.0741175493632E-2</v>
      </c>
      <c r="J214" s="2">
        <f>RANK(I214,$I$2:$I$245)</f>
        <v>213</v>
      </c>
      <c r="K214">
        <v>1</v>
      </c>
      <c r="L214">
        <v>1.8</v>
      </c>
      <c r="M214" s="2">
        <f>I214/(L214+0.0001)</f>
        <v>5.9669882193389258E-3</v>
      </c>
      <c r="N214" s="2">
        <f>RANK(M214,$M$2:$M$245)</f>
        <v>52</v>
      </c>
      <c r="O214">
        <f>I214*EXP(-0.01*L214)</f>
        <v>1.0549564011567286E-2</v>
      </c>
      <c r="P214" s="2">
        <f>RANK(O214,$O$2:$O$245)</f>
        <v>113</v>
      </c>
    </row>
    <row r="215" spans="1:16" x14ac:dyDescent="0.2">
      <c r="A215" t="s">
        <v>26</v>
      </c>
      <c r="B215" t="s">
        <v>25</v>
      </c>
      <c r="C215">
        <v>1</v>
      </c>
      <c r="D215">
        <v>100</v>
      </c>
      <c r="E215">
        <v>0</v>
      </c>
      <c r="F215">
        <v>0</v>
      </c>
      <c r="G215" t="s">
        <v>18</v>
      </c>
      <c r="H215" t="s">
        <v>19</v>
      </c>
      <c r="I215">
        <v>1.0741175491646699E-2</v>
      </c>
      <c r="J215" s="2">
        <f>RANK(I215,$I$2:$I$245)</f>
        <v>214</v>
      </c>
      <c r="K215">
        <v>1</v>
      </c>
      <c r="L215">
        <v>1.8</v>
      </c>
      <c r="M215" s="2">
        <f>I215/(L215+0.0001)</f>
        <v>5.9669882182360424E-3</v>
      </c>
      <c r="N215" s="2">
        <f>RANK(M215,$M$2:$M$245)</f>
        <v>53</v>
      </c>
      <c r="O215">
        <f>I215*EXP(-0.01*L215)</f>
        <v>1.0549564009617401E-2</v>
      </c>
      <c r="P215" s="2">
        <f>RANK(O215,$O$2:$O$245)</f>
        <v>114</v>
      </c>
    </row>
    <row r="216" spans="1:16" x14ac:dyDescent="0.2">
      <c r="A216" t="s">
        <v>26</v>
      </c>
      <c r="B216" t="s">
        <v>25</v>
      </c>
      <c r="C216">
        <v>5</v>
      </c>
      <c r="D216">
        <v>100</v>
      </c>
      <c r="E216">
        <v>0</v>
      </c>
      <c r="F216">
        <v>0</v>
      </c>
      <c r="G216" t="s">
        <v>18</v>
      </c>
      <c r="H216" t="s">
        <v>19</v>
      </c>
      <c r="I216">
        <v>1.0741166267837599E-2</v>
      </c>
      <c r="J216" s="2">
        <f>RANK(I216,$I$2:$I$245)</f>
        <v>215</v>
      </c>
      <c r="K216">
        <v>1</v>
      </c>
      <c r="L216">
        <v>1.8</v>
      </c>
      <c r="M216" s="2">
        <f>I216/(L216+0.0001)</f>
        <v>5.9669830941823229E-3</v>
      </c>
      <c r="N216" s="2">
        <f>RANK(M216,$M$2:$M$245)</f>
        <v>54</v>
      </c>
      <c r="O216" s="2">
        <f>I216*EXP(-0.01*L216)</f>
        <v>1.0549554950351533E-2</v>
      </c>
      <c r="P216" s="2">
        <f>RANK(O216,$O$2:$O$245)</f>
        <v>115</v>
      </c>
    </row>
    <row r="217" spans="1:16" x14ac:dyDescent="0.2">
      <c r="A217" t="s">
        <v>26</v>
      </c>
      <c r="B217" t="s">
        <v>25</v>
      </c>
      <c r="C217">
        <v>1</v>
      </c>
      <c r="D217">
        <v>100</v>
      </c>
      <c r="E217">
        <v>0</v>
      </c>
      <c r="F217">
        <v>0</v>
      </c>
      <c r="G217" t="s">
        <v>18</v>
      </c>
      <c r="H217" t="s">
        <v>22</v>
      </c>
      <c r="I217">
        <v>1.07411385606874E-2</v>
      </c>
      <c r="J217" s="2">
        <f>RANK(I217,$I$2:$I$245)</f>
        <v>216</v>
      </c>
      <c r="K217">
        <v>1</v>
      </c>
      <c r="L217">
        <v>1.92</v>
      </c>
      <c r="M217" s="2">
        <f>I217/(L217+0.0001)</f>
        <v>5.5940516435015889E-3</v>
      </c>
      <c r="N217" s="2">
        <f>RANK(M217,$M$2:$M$245)</f>
        <v>67</v>
      </c>
      <c r="O217">
        <f>I217*EXP(-0.01*L217)</f>
        <v>1.0536875896805945E-2</v>
      </c>
      <c r="P217" s="2">
        <f>RANK(O217,$O$2:$O$245)</f>
        <v>116</v>
      </c>
    </row>
    <row r="218" spans="1:16" x14ac:dyDescent="0.2">
      <c r="A218" t="s">
        <v>26</v>
      </c>
      <c r="B218" t="s">
        <v>25</v>
      </c>
      <c r="C218">
        <v>2</v>
      </c>
      <c r="D218">
        <v>100</v>
      </c>
      <c r="E218">
        <v>0</v>
      </c>
      <c r="F218">
        <v>0</v>
      </c>
      <c r="G218" t="s">
        <v>18</v>
      </c>
      <c r="H218" t="s">
        <v>22</v>
      </c>
      <c r="I218">
        <v>1.07411385606874E-2</v>
      </c>
      <c r="J218" s="2">
        <f>RANK(I218,$I$2:$I$245)</f>
        <v>216</v>
      </c>
      <c r="K218">
        <v>1</v>
      </c>
      <c r="L218">
        <v>1.92</v>
      </c>
      <c r="M218" s="2">
        <f>I218/(L218+0.0001)</f>
        <v>5.5940516435015889E-3</v>
      </c>
      <c r="N218" s="2">
        <f>RANK(M218,$M$2:$M$245)</f>
        <v>67</v>
      </c>
      <c r="O218">
        <f>I218*EXP(-0.01*L218)</f>
        <v>1.0536875896805945E-2</v>
      </c>
      <c r="P218" s="2">
        <f>RANK(O218,$O$2:$O$245)</f>
        <v>116</v>
      </c>
    </row>
    <row r="219" spans="1:16" x14ac:dyDescent="0.2">
      <c r="A219" t="s">
        <v>26</v>
      </c>
      <c r="B219" t="s">
        <v>25</v>
      </c>
      <c r="C219">
        <v>5</v>
      </c>
      <c r="D219">
        <v>100</v>
      </c>
      <c r="E219">
        <v>0</v>
      </c>
      <c r="F219">
        <v>0</v>
      </c>
      <c r="G219" t="s">
        <v>18</v>
      </c>
      <c r="H219" t="s">
        <v>22</v>
      </c>
      <c r="I219">
        <v>1.07411385606874E-2</v>
      </c>
      <c r="J219" s="2">
        <f>RANK(I219,$I$2:$I$245)</f>
        <v>216</v>
      </c>
      <c r="K219">
        <v>1</v>
      </c>
      <c r="L219">
        <v>1.92</v>
      </c>
      <c r="M219" s="2">
        <f>I219/(L219+0.0001)</f>
        <v>5.5940516435015889E-3</v>
      </c>
      <c r="N219" s="2">
        <f>RANK(M219,$M$2:$M$245)</f>
        <v>67</v>
      </c>
      <c r="O219">
        <f>I219*EXP(-0.01*L219)</f>
        <v>1.0536875896805945E-2</v>
      </c>
      <c r="P219" s="2">
        <f>RANK(O219,$O$2:$O$245)</f>
        <v>116</v>
      </c>
    </row>
    <row r="220" spans="1:16" x14ac:dyDescent="0.2">
      <c r="A220" t="s">
        <v>26</v>
      </c>
      <c r="B220" t="s">
        <v>24</v>
      </c>
      <c r="C220">
        <v>5</v>
      </c>
      <c r="D220">
        <v>12</v>
      </c>
      <c r="E220">
        <v>5</v>
      </c>
      <c r="F220">
        <v>12</v>
      </c>
      <c r="G220" t="s">
        <v>23</v>
      </c>
      <c r="H220" t="s">
        <v>19</v>
      </c>
      <c r="I220">
        <v>9.8143414777842105E-3</v>
      </c>
      <c r="J220" s="2">
        <f>RANK(I220,$I$2:$I$245)</f>
        <v>219</v>
      </c>
      <c r="K220">
        <v>2E-3</v>
      </c>
      <c r="L220">
        <v>4.8</v>
      </c>
      <c r="M220" s="2">
        <f>I220/(L220+0.0001)</f>
        <v>2.0446118784575762E-3</v>
      </c>
      <c r="N220" s="2">
        <f>RANK(M220,$M$2:$M$245)</f>
        <v>198</v>
      </c>
      <c r="O220">
        <v>6.0729515079670096E-3</v>
      </c>
      <c r="P220" s="2">
        <f>RANK(O220,$O$2:$O$245)</f>
        <v>209</v>
      </c>
    </row>
    <row r="221" spans="1:16" x14ac:dyDescent="0.2">
      <c r="A221" t="s">
        <v>26</v>
      </c>
      <c r="B221" t="s">
        <v>25</v>
      </c>
      <c r="C221">
        <v>5</v>
      </c>
      <c r="D221">
        <v>12</v>
      </c>
      <c r="E221">
        <v>5</v>
      </c>
      <c r="F221">
        <v>12</v>
      </c>
      <c r="G221" t="s">
        <v>23</v>
      </c>
      <c r="H221" t="s">
        <v>19</v>
      </c>
      <c r="I221">
        <v>8.7549038095756492E-3</v>
      </c>
      <c r="J221" s="2">
        <f>RANK(I221,$I$2:$I$245)</f>
        <v>220</v>
      </c>
      <c r="K221">
        <v>0</v>
      </c>
      <c r="L221">
        <v>4.8</v>
      </c>
      <c r="M221" s="2">
        <f>I221/(L221+0.0001)</f>
        <v>1.8239002957387658E-3</v>
      </c>
      <c r="N221" s="2">
        <f>RANK(M221,$M$2:$M$245)</f>
        <v>199</v>
      </c>
      <c r="O221">
        <v>5.4173890742257201E-3</v>
      </c>
      <c r="P221" s="2">
        <f>RANK(O221,$O$2:$O$245)</f>
        <v>210</v>
      </c>
    </row>
    <row r="222" spans="1:16" x14ac:dyDescent="0.2">
      <c r="A222" t="s">
        <v>26</v>
      </c>
      <c r="B222" t="s">
        <v>17</v>
      </c>
      <c r="C222">
        <v>0</v>
      </c>
      <c r="D222">
        <v>0</v>
      </c>
      <c r="E222">
        <v>5</v>
      </c>
      <c r="F222">
        <v>100</v>
      </c>
      <c r="G222" t="s">
        <v>23</v>
      </c>
      <c r="H222" t="s">
        <v>19</v>
      </c>
      <c r="I222">
        <v>7.8328445033392594E-3</v>
      </c>
      <c r="J222" s="2">
        <f>RANK(I222,$I$2:$I$245)</f>
        <v>221</v>
      </c>
      <c r="K222">
        <v>0</v>
      </c>
      <c r="L222">
        <v>17.600000000000001</v>
      </c>
      <c r="M222" s="2">
        <f>I222/(L222+0.0001)</f>
        <v>4.4504545447692108E-4</v>
      </c>
      <c r="N222" s="2">
        <f>RANK(M222,$M$2:$M$245)</f>
        <v>235</v>
      </c>
      <c r="O222">
        <v>1.3476006659241301E-3</v>
      </c>
      <c r="P222" s="2">
        <f>RANK(O222,$O$2:$O$245)</f>
        <v>234</v>
      </c>
    </row>
    <row r="223" spans="1:16" x14ac:dyDescent="0.2">
      <c r="A223" t="s">
        <v>26</v>
      </c>
      <c r="B223" t="s">
        <v>17</v>
      </c>
      <c r="C223">
        <v>0</v>
      </c>
      <c r="D223">
        <v>0</v>
      </c>
      <c r="E223">
        <v>5</v>
      </c>
      <c r="F223">
        <v>75</v>
      </c>
      <c r="G223" t="s">
        <v>23</v>
      </c>
      <c r="H223" t="s">
        <v>19</v>
      </c>
      <c r="I223">
        <v>7.4751433192308502E-3</v>
      </c>
      <c r="J223" s="2">
        <f>RANK(I223,$I$2:$I$245)</f>
        <v>222</v>
      </c>
      <c r="K223">
        <v>0</v>
      </c>
      <c r="L223">
        <v>14.52</v>
      </c>
      <c r="M223" s="2">
        <f>I223/(L223+0.0001)</f>
        <v>5.1481348745744521E-4</v>
      </c>
      <c r="N223" s="2">
        <f>RANK(M223,$M$2:$M$245)</f>
        <v>228</v>
      </c>
      <c r="O223">
        <v>1.7499431334468199E-3</v>
      </c>
      <c r="P223" s="2">
        <f>RANK(O223,$O$2:$O$245)</f>
        <v>228</v>
      </c>
    </row>
    <row r="224" spans="1:16" x14ac:dyDescent="0.2">
      <c r="A224" t="s">
        <v>26</v>
      </c>
      <c r="B224" t="s">
        <v>17</v>
      </c>
      <c r="C224">
        <v>0</v>
      </c>
      <c r="D224">
        <v>0</v>
      </c>
      <c r="E224">
        <v>2</v>
      </c>
      <c r="F224">
        <v>25</v>
      </c>
      <c r="G224" t="s">
        <v>23</v>
      </c>
      <c r="H224" t="s">
        <v>19</v>
      </c>
      <c r="I224">
        <v>6.7626604949427701E-3</v>
      </c>
      <c r="J224" s="2">
        <f>RANK(I224,$I$2:$I$245)</f>
        <v>223</v>
      </c>
      <c r="K224">
        <v>0</v>
      </c>
      <c r="L224">
        <v>12.5</v>
      </c>
      <c r="M224" s="2">
        <f>I224/(L224+0.0001)</f>
        <v>5.4100851152732944E-4</v>
      </c>
      <c r="N224" s="2">
        <f>RANK(M224,$M$2:$M$245)</f>
        <v>225</v>
      </c>
      <c r="O224">
        <v>1.93753467133801E-3</v>
      </c>
      <c r="P224" s="2">
        <f>RANK(O224,$O$2:$O$245)</f>
        <v>225</v>
      </c>
    </row>
    <row r="225" spans="1:16" x14ac:dyDescent="0.2">
      <c r="A225" t="s">
        <v>26</v>
      </c>
      <c r="B225" t="s">
        <v>17</v>
      </c>
      <c r="C225">
        <v>0</v>
      </c>
      <c r="D225">
        <v>0</v>
      </c>
      <c r="E225">
        <v>5</v>
      </c>
      <c r="F225">
        <v>50</v>
      </c>
      <c r="G225" t="s">
        <v>23</v>
      </c>
      <c r="H225" t="s">
        <v>19</v>
      </c>
      <c r="I225">
        <v>6.5830902445431702E-3</v>
      </c>
      <c r="J225" s="2">
        <f>RANK(I225,$I$2:$I$245)</f>
        <v>224</v>
      </c>
      <c r="K225">
        <v>0</v>
      </c>
      <c r="L225">
        <v>10</v>
      </c>
      <c r="M225" s="2">
        <f>I225/(L225+0.0001)</f>
        <v>6.5830244142990276E-4</v>
      </c>
      <c r="N225" s="2">
        <f>RANK(M225,$M$2:$M$245)</f>
        <v>218</v>
      </c>
      <c r="O225">
        <v>2.42178356034372E-3</v>
      </c>
      <c r="P225" s="2">
        <f>RANK(O225,$O$2:$O$245)</f>
        <v>221</v>
      </c>
    </row>
    <row r="226" spans="1:16" x14ac:dyDescent="0.2">
      <c r="A226" t="s">
        <v>26</v>
      </c>
      <c r="B226" t="s">
        <v>17</v>
      </c>
      <c r="C226">
        <v>0</v>
      </c>
      <c r="D226">
        <v>0</v>
      </c>
      <c r="E226">
        <v>2</v>
      </c>
      <c r="F226">
        <v>100</v>
      </c>
      <c r="G226" t="s">
        <v>23</v>
      </c>
      <c r="H226" t="s">
        <v>22</v>
      </c>
      <c r="I226">
        <v>5.9730020308206896E-3</v>
      </c>
      <c r="J226" s="2">
        <f>RANK(I226,$I$2:$I$245)</f>
        <v>225</v>
      </c>
      <c r="K226">
        <v>0</v>
      </c>
      <c r="L226">
        <v>46.54</v>
      </c>
      <c r="M226" s="2">
        <f>I226/(L226+0.0001)</f>
        <v>1.2834097973190192E-4</v>
      </c>
      <c r="N226" s="2">
        <f>RANK(M226,$M$2:$M$245)</f>
        <v>244</v>
      </c>
      <c r="O226">
        <v>5.6883478161201E-5</v>
      </c>
      <c r="P226" s="2">
        <f>RANK(O226,$O$2:$O$245)</f>
        <v>244</v>
      </c>
    </row>
    <row r="227" spans="1:16" x14ac:dyDescent="0.2">
      <c r="A227" t="s">
        <v>26</v>
      </c>
      <c r="B227" t="s">
        <v>17</v>
      </c>
      <c r="C227">
        <v>0</v>
      </c>
      <c r="D227">
        <v>0</v>
      </c>
      <c r="E227">
        <v>5</v>
      </c>
      <c r="F227">
        <v>25</v>
      </c>
      <c r="G227" t="s">
        <v>23</v>
      </c>
      <c r="H227" t="s">
        <v>19</v>
      </c>
      <c r="I227">
        <v>5.7617562542537004E-3</v>
      </c>
      <c r="J227" s="2">
        <f>RANK(I227,$I$2:$I$245)</f>
        <v>226</v>
      </c>
      <c r="K227">
        <v>0</v>
      </c>
      <c r="L227">
        <v>5</v>
      </c>
      <c r="M227" s="2">
        <f>I227/(L227+0.0001)</f>
        <v>1.1523282042866544E-3</v>
      </c>
      <c r="N227" s="2">
        <f>RANK(M227,$M$2:$M$245)</f>
        <v>205</v>
      </c>
      <c r="O227">
        <v>3.4946818219958901E-3</v>
      </c>
      <c r="P227" s="2">
        <f>RANK(O227,$O$2:$O$245)</f>
        <v>214</v>
      </c>
    </row>
    <row r="228" spans="1:16" x14ac:dyDescent="0.2">
      <c r="A228" t="s">
        <v>26</v>
      </c>
      <c r="B228" t="s">
        <v>24</v>
      </c>
      <c r="C228">
        <v>2</v>
      </c>
      <c r="D228">
        <v>12</v>
      </c>
      <c r="E228">
        <v>2</v>
      </c>
      <c r="F228">
        <v>12</v>
      </c>
      <c r="G228" t="s">
        <v>23</v>
      </c>
      <c r="H228" t="s">
        <v>22</v>
      </c>
      <c r="I228">
        <v>5.7123272021021403E-3</v>
      </c>
      <c r="J228" s="2">
        <f>RANK(I228,$I$2:$I$245)</f>
        <v>227</v>
      </c>
      <c r="K228">
        <v>0</v>
      </c>
      <c r="L228">
        <v>12</v>
      </c>
      <c r="M228" s="2">
        <f>I228/(L228+0.0001)</f>
        <v>4.7602329998101188E-4</v>
      </c>
      <c r="N228" s="2">
        <f>RANK(M228,$M$2:$M$245)</f>
        <v>231</v>
      </c>
      <c r="O228">
        <v>1.72051988982179E-3</v>
      </c>
      <c r="P228" s="2">
        <f>RANK(O228,$O$2:$O$245)</f>
        <v>229</v>
      </c>
    </row>
    <row r="229" spans="1:16" x14ac:dyDescent="0.2">
      <c r="A229" t="s">
        <v>26</v>
      </c>
      <c r="B229" t="s">
        <v>24</v>
      </c>
      <c r="C229">
        <v>5</v>
      </c>
      <c r="D229">
        <v>25</v>
      </c>
      <c r="E229">
        <v>5</v>
      </c>
      <c r="F229">
        <v>25</v>
      </c>
      <c r="G229" t="s">
        <v>23</v>
      </c>
      <c r="H229" t="s">
        <v>22</v>
      </c>
      <c r="I229">
        <v>5.3493099390178704E-3</v>
      </c>
      <c r="J229" s="2">
        <f>RANK(I229,$I$2:$I$245)</f>
        <v>228</v>
      </c>
      <c r="K229">
        <v>0</v>
      </c>
      <c r="L229">
        <v>10</v>
      </c>
      <c r="M229" s="2">
        <f>I229/(L229+0.0001)</f>
        <v>5.3492564464534059E-4</v>
      </c>
      <c r="N229" s="2">
        <f>RANK(M229,$M$2:$M$245)</f>
        <v>226</v>
      </c>
      <c r="O229">
        <v>1.9679011510187398E-3</v>
      </c>
      <c r="P229" s="2">
        <f>RANK(O229,$O$2:$O$245)</f>
        <v>224</v>
      </c>
    </row>
    <row r="230" spans="1:16" x14ac:dyDescent="0.2">
      <c r="A230" t="s">
        <v>26</v>
      </c>
      <c r="B230" t="s">
        <v>17</v>
      </c>
      <c r="C230">
        <v>0</v>
      </c>
      <c r="D230">
        <v>0</v>
      </c>
      <c r="E230">
        <v>2</v>
      </c>
      <c r="F230">
        <v>75</v>
      </c>
      <c r="G230" t="s">
        <v>23</v>
      </c>
      <c r="H230" t="s">
        <v>22</v>
      </c>
      <c r="I230">
        <v>5.27259306126753E-3</v>
      </c>
      <c r="J230" s="2">
        <f>RANK(I230,$I$2:$I$245)</f>
        <v>229</v>
      </c>
      <c r="K230">
        <v>0</v>
      </c>
      <c r="L230">
        <v>36.86</v>
      </c>
      <c r="M230" s="2">
        <f>I230/(L230+0.0001)</f>
        <v>1.4304337376370464E-4</v>
      </c>
      <c r="N230" s="2">
        <f>RANK(M230,$M$2:$M$245)</f>
        <v>243</v>
      </c>
      <c r="O230">
        <v>1.3219492825633299E-4</v>
      </c>
      <c r="P230" s="2">
        <f>RANK(O230,$O$2:$O$245)</f>
        <v>243</v>
      </c>
    </row>
    <row r="231" spans="1:16" x14ac:dyDescent="0.2">
      <c r="A231" t="s">
        <v>26</v>
      </c>
      <c r="B231" t="s">
        <v>17</v>
      </c>
      <c r="C231">
        <v>0</v>
      </c>
      <c r="D231">
        <v>0</v>
      </c>
      <c r="E231">
        <v>0</v>
      </c>
      <c r="F231">
        <v>0</v>
      </c>
      <c r="G231" t="s">
        <v>23</v>
      </c>
      <c r="H231" t="s">
        <v>19</v>
      </c>
      <c r="I231">
        <v>5.2556016996691303E-3</v>
      </c>
      <c r="J231" s="2">
        <f>RANK(I231,$I$2:$I$245)</f>
        <v>230</v>
      </c>
      <c r="K231">
        <v>0</v>
      </c>
      <c r="L231">
        <v>0</v>
      </c>
      <c r="M231" s="2">
        <f>I231/(L231+0.0001)</f>
        <v>52.556016996691298</v>
      </c>
      <c r="N231" s="2">
        <f>RANK(M231,$M$2:$M$245)</f>
        <v>3</v>
      </c>
      <c r="O231" s="2">
        <v>5.2556016996691303E-3</v>
      </c>
      <c r="P231" s="2">
        <f>RANK(O231,$O$2:$O$245)</f>
        <v>211</v>
      </c>
    </row>
    <row r="232" spans="1:16" x14ac:dyDescent="0.2">
      <c r="A232" t="s">
        <v>26</v>
      </c>
      <c r="B232" t="s">
        <v>25</v>
      </c>
      <c r="C232">
        <v>2</v>
      </c>
      <c r="D232">
        <v>12</v>
      </c>
      <c r="E232">
        <v>2</v>
      </c>
      <c r="F232">
        <v>12</v>
      </c>
      <c r="G232" t="s">
        <v>23</v>
      </c>
      <c r="H232" t="s">
        <v>22</v>
      </c>
      <c r="I232">
        <v>5.1738410596026503E-3</v>
      </c>
      <c r="J232" s="2">
        <f>RANK(I232,$I$2:$I$245)</f>
        <v>231</v>
      </c>
      <c r="K232">
        <v>0</v>
      </c>
      <c r="L232">
        <v>12</v>
      </c>
      <c r="M232" s="2">
        <f>I232/(L232+0.0001)</f>
        <v>4.3114982871831487E-4</v>
      </c>
      <c r="N232" s="2">
        <f>RANK(M232,$M$2:$M$245)</f>
        <v>236</v>
      </c>
      <c r="O232">
        <v>1.5583309805060101E-3</v>
      </c>
      <c r="P232" s="2">
        <f>RANK(O232,$O$2:$O$245)</f>
        <v>230</v>
      </c>
    </row>
    <row r="233" spans="1:16" x14ac:dyDescent="0.2">
      <c r="A233" t="s">
        <v>26</v>
      </c>
      <c r="B233" t="s">
        <v>25</v>
      </c>
      <c r="C233">
        <v>5</v>
      </c>
      <c r="D233">
        <v>25</v>
      </c>
      <c r="E233">
        <v>5</v>
      </c>
      <c r="F233">
        <v>25</v>
      </c>
      <c r="G233" t="s">
        <v>23</v>
      </c>
      <c r="H233" t="s">
        <v>22</v>
      </c>
      <c r="I233">
        <v>5.0190724754065399E-3</v>
      </c>
      <c r="J233" s="2">
        <f>RANK(I233,$I$2:$I$245)</f>
        <v>232</v>
      </c>
      <c r="K233">
        <v>0</v>
      </c>
      <c r="L233">
        <v>10</v>
      </c>
      <c r="M233" s="2">
        <f>I233/(L233+0.0001)</f>
        <v>5.0190222851836887E-4</v>
      </c>
      <c r="N233" s="2">
        <f>RANK(M233,$M$2:$M$245)</f>
        <v>230</v>
      </c>
      <c r="O233">
        <v>1.84641357745153E-3</v>
      </c>
      <c r="P233" s="2">
        <f>RANK(O233,$O$2:$O$245)</f>
        <v>227</v>
      </c>
    </row>
    <row r="234" spans="1:16" x14ac:dyDescent="0.2">
      <c r="A234" t="s">
        <v>26</v>
      </c>
      <c r="B234" t="s">
        <v>24</v>
      </c>
      <c r="C234">
        <v>5</v>
      </c>
      <c r="D234">
        <v>25</v>
      </c>
      <c r="E234">
        <v>0</v>
      </c>
      <c r="F234">
        <v>0</v>
      </c>
      <c r="G234" t="s">
        <v>23</v>
      </c>
      <c r="H234" t="s">
        <v>22</v>
      </c>
      <c r="I234">
        <v>4.7564687975646903E-3</v>
      </c>
      <c r="J234" s="2">
        <f>RANK(I234,$I$2:$I$245)</f>
        <v>233</v>
      </c>
      <c r="K234">
        <v>0</v>
      </c>
      <c r="L234">
        <v>5</v>
      </c>
      <c r="M234" s="2">
        <f>I234/(L234+0.0001)</f>
        <v>9.5127473401825774E-4</v>
      </c>
      <c r="N234" s="2">
        <f>RANK(M234,$M$2:$M$245)</f>
        <v>210</v>
      </c>
      <c r="O234" s="2">
        <v>2.88494415768947E-3</v>
      </c>
      <c r="P234" s="2">
        <f>RANK(O234,$O$2:$O$245)</f>
        <v>215</v>
      </c>
    </row>
    <row r="235" spans="1:16" x14ac:dyDescent="0.2">
      <c r="A235" t="s">
        <v>26</v>
      </c>
      <c r="B235" t="s">
        <v>25</v>
      </c>
      <c r="C235">
        <v>5</v>
      </c>
      <c r="D235">
        <v>25</v>
      </c>
      <c r="E235">
        <v>0</v>
      </c>
      <c r="F235">
        <v>0</v>
      </c>
      <c r="G235" t="s">
        <v>23</v>
      </c>
      <c r="H235" t="s">
        <v>22</v>
      </c>
      <c r="I235">
        <v>4.4786814761734097E-3</v>
      </c>
      <c r="J235" s="2">
        <f>RANK(I235,$I$2:$I$245)</f>
        <v>234</v>
      </c>
      <c r="K235">
        <v>0</v>
      </c>
      <c r="L235">
        <v>5</v>
      </c>
      <c r="M235" s="2">
        <f>I235/(L235+0.0001)</f>
        <v>8.9571838086706466E-4</v>
      </c>
      <c r="N235" s="2">
        <f>RANK(M235,$M$2:$M$245)</f>
        <v>213</v>
      </c>
      <c r="O235">
        <v>2.7164576303862101E-3</v>
      </c>
      <c r="P235" s="2">
        <f>RANK(O235,$O$2:$O$245)</f>
        <v>216</v>
      </c>
    </row>
    <row r="236" spans="1:16" x14ac:dyDescent="0.2">
      <c r="A236" t="s">
        <v>26</v>
      </c>
      <c r="B236" t="s">
        <v>17</v>
      </c>
      <c r="C236">
        <v>0</v>
      </c>
      <c r="D236">
        <v>0</v>
      </c>
      <c r="E236">
        <v>2</v>
      </c>
      <c r="F236">
        <v>50</v>
      </c>
      <c r="G236" t="s">
        <v>23</v>
      </c>
      <c r="H236" t="s">
        <v>22</v>
      </c>
      <c r="I236">
        <v>4.37866713372449E-3</v>
      </c>
      <c r="J236" s="2">
        <f>RANK(I236,$I$2:$I$245)</f>
        <v>235</v>
      </c>
      <c r="K236">
        <v>0</v>
      </c>
      <c r="L236">
        <v>25</v>
      </c>
      <c r="M236" s="2">
        <f>I236/(L236+0.0001)</f>
        <v>1.7514598476504054E-4</v>
      </c>
      <c r="N236" s="2">
        <f>RANK(M236,$M$2:$M$245)</f>
        <v>242</v>
      </c>
      <c r="O236">
        <v>3.5942288564628599E-4</v>
      </c>
      <c r="P236" s="2">
        <f>RANK(O236,$O$2:$O$245)</f>
        <v>242</v>
      </c>
    </row>
    <row r="237" spans="1:16" x14ac:dyDescent="0.2">
      <c r="A237" t="s">
        <v>26</v>
      </c>
      <c r="B237" t="s">
        <v>17</v>
      </c>
      <c r="C237">
        <v>0</v>
      </c>
      <c r="D237">
        <v>0</v>
      </c>
      <c r="E237">
        <v>1</v>
      </c>
      <c r="F237">
        <v>25</v>
      </c>
      <c r="G237" t="s">
        <v>23</v>
      </c>
      <c r="H237" t="s">
        <v>22</v>
      </c>
      <c r="I237">
        <v>4.3204009332066E-3</v>
      </c>
      <c r="J237" s="2">
        <f>RANK(I237,$I$2:$I$245)</f>
        <v>236</v>
      </c>
      <c r="K237">
        <v>0</v>
      </c>
      <c r="L237">
        <v>24.5</v>
      </c>
      <c r="M237" s="2">
        <f>I237/(L237+0.0001)</f>
        <v>1.7634217546894093E-4</v>
      </c>
      <c r="N237" s="2">
        <f>RANK(M237,$M$2:$M$245)</f>
        <v>241</v>
      </c>
      <c r="O237">
        <v>3.7282289164162498E-4</v>
      </c>
      <c r="P237" s="2">
        <f>RANK(O237,$O$2:$O$245)</f>
        <v>241</v>
      </c>
    </row>
    <row r="238" spans="1:16" x14ac:dyDescent="0.2">
      <c r="A238" t="s">
        <v>26</v>
      </c>
      <c r="B238" t="s">
        <v>17</v>
      </c>
      <c r="C238">
        <v>0</v>
      </c>
      <c r="D238">
        <v>0</v>
      </c>
      <c r="E238">
        <v>5</v>
      </c>
      <c r="F238">
        <v>100</v>
      </c>
      <c r="G238" t="s">
        <v>23</v>
      </c>
      <c r="H238" t="s">
        <v>22</v>
      </c>
      <c r="I238">
        <v>4.0663630448926503E-3</v>
      </c>
      <c r="J238" s="2">
        <f>RANK(I238,$I$2:$I$245)</f>
        <v>237</v>
      </c>
      <c r="K238">
        <v>0</v>
      </c>
      <c r="L238">
        <v>18.739999999999998</v>
      </c>
      <c r="M238" s="2">
        <f>I238/(L238+0.0001)</f>
        <v>2.1698726500352989E-4</v>
      </c>
      <c r="N238" s="2">
        <f>RANK(M238,$M$2:$M$245)</f>
        <v>240</v>
      </c>
      <c r="O238" s="2">
        <v>6.2422087880132802E-4</v>
      </c>
      <c r="P238" s="2">
        <f>RANK(O238,$O$2:$O$245)</f>
        <v>240</v>
      </c>
    </row>
    <row r="239" spans="1:16" x14ac:dyDescent="0.2">
      <c r="A239" t="s">
        <v>26</v>
      </c>
      <c r="B239" t="s">
        <v>17</v>
      </c>
      <c r="C239">
        <v>0</v>
      </c>
      <c r="D239">
        <v>0</v>
      </c>
      <c r="E239">
        <v>5</v>
      </c>
      <c r="F239">
        <v>75</v>
      </c>
      <c r="G239" t="s">
        <v>23</v>
      </c>
      <c r="H239" t="s">
        <v>22</v>
      </c>
      <c r="I239">
        <v>3.9682539682539698E-3</v>
      </c>
      <c r="J239" s="2">
        <f>RANK(I239,$I$2:$I$245)</f>
        <v>238</v>
      </c>
      <c r="K239">
        <v>0</v>
      </c>
      <c r="L239">
        <v>14.7</v>
      </c>
      <c r="M239" s="2">
        <f>I239/(L239+0.0001)</f>
        <v>2.699474131641261E-4</v>
      </c>
      <c r="N239" s="2">
        <f>RANK(M239,$M$2:$M$245)</f>
        <v>239</v>
      </c>
      <c r="O239" s="2">
        <v>9.1240271899493595E-4</v>
      </c>
      <c r="P239" s="2">
        <f>RANK(O239,$O$2:$O$245)</f>
        <v>237</v>
      </c>
    </row>
    <row r="240" spans="1:16" x14ac:dyDescent="0.2">
      <c r="A240" t="s">
        <v>26</v>
      </c>
      <c r="B240" t="s">
        <v>24</v>
      </c>
      <c r="C240">
        <v>5</v>
      </c>
      <c r="D240">
        <v>12</v>
      </c>
      <c r="E240">
        <v>5</v>
      </c>
      <c r="F240">
        <v>12</v>
      </c>
      <c r="G240" t="s">
        <v>23</v>
      </c>
      <c r="H240" t="s">
        <v>22</v>
      </c>
      <c r="I240">
        <v>3.9560091779412901E-3</v>
      </c>
      <c r="J240" s="2">
        <f>RANK(I240,$I$2:$I$245)</f>
        <v>239</v>
      </c>
      <c r="K240">
        <v>0</v>
      </c>
      <c r="L240">
        <v>4.8</v>
      </c>
      <c r="M240" s="2">
        <f>I240/(L240+0.0001)</f>
        <v>8.2415140891674971E-4</v>
      </c>
      <c r="N240" s="2">
        <f>RANK(M240,$M$2:$M$245)</f>
        <v>214</v>
      </c>
      <c r="O240">
        <v>2.4479127771427299E-3</v>
      </c>
      <c r="P240" s="2">
        <f>RANK(O240,$O$2:$O$245)</f>
        <v>219</v>
      </c>
    </row>
    <row r="241" spans="1:16" x14ac:dyDescent="0.2">
      <c r="A241" t="s">
        <v>26</v>
      </c>
      <c r="B241" t="s">
        <v>25</v>
      </c>
      <c r="C241">
        <v>5</v>
      </c>
      <c r="D241">
        <v>12</v>
      </c>
      <c r="E241">
        <v>5</v>
      </c>
      <c r="F241">
        <v>12</v>
      </c>
      <c r="G241" t="s">
        <v>23</v>
      </c>
      <c r="H241" t="s">
        <v>22</v>
      </c>
      <c r="I241">
        <v>3.9438397223536797E-3</v>
      </c>
      <c r="J241" s="2">
        <f>RANK(I241,$I$2:$I$245)</f>
        <v>240</v>
      </c>
      <c r="K241">
        <v>0</v>
      </c>
      <c r="L241">
        <v>4.8</v>
      </c>
      <c r="M241" s="2">
        <f>I241/(L241+0.0001)</f>
        <v>8.2161615848704819E-4</v>
      </c>
      <c r="N241" s="2">
        <f>RANK(M241,$M$2:$M$245)</f>
        <v>215</v>
      </c>
      <c r="O241">
        <v>2.4403825201378001E-3</v>
      </c>
      <c r="P241" s="2">
        <f>RANK(O241,$O$2:$O$245)</f>
        <v>220</v>
      </c>
    </row>
    <row r="242" spans="1:16" x14ac:dyDescent="0.2">
      <c r="A242" t="s">
        <v>26</v>
      </c>
      <c r="B242" t="s">
        <v>17</v>
      </c>
      <c r="C242">
        <v>0</v>
      </c>
      <c r="D242">
        <v>0</v>
      </c>
      <c r="E242">
        <v>2</v>
      </c>
      <c r="F242">
        <v>25</v>
      </c>
      <c r="G242" t="s">
        <v>23</v>
      </c>
      <c r="H242" t="s">
        <v>22</v>
      </c>
      <c r="I242">
        <v>3.8714672861014298E-3</v>
      </c>
      <c r="J242" s="2">
        <f>RANK(I242,$I$2:$I$245)</f>
        <v>241</v>
      </c>
      <c r="K242">
        <v>0</v>
      </c>
      <c r="L242">
        <v>12.5</v>
      </c>
      <c r="M242" s="2">
        <f>I242/(L242+0.0001)</f>
        <v>3.0971490516887307E-4</v>
      </c>
      <c r="N242" s="2">
        <f>RANK(M242,$M$2:$M$245)</f>
        <v>238</v>
      </c>
      <c r="O242" s="2">
        <v>1.10919394835536E-3</v>
      </c>
      <c r="P242" s="2">
        <f>RANK(O242,$O$2:$O$245)</f>
        <v>235</v>
      </c>
    </row>
    <row r="243" spans="1:16" x14ac:dyDescent="0.2">
      <c r="A243" t="s">
        <v>26</v>
      </c>
      <c r="B243" t="s">
        <v>17</v>
      </c>
      <c r="C243">
        <v>0</v>
      </c>
      <c r="D243">
        <v>0</v>
      </c>
      <c r="E243">
        <v>5</v>
      </c>
      <c r="F243">
        <v>50</v>
      </c>
      <c r="G243" t="s">
        <v>23</v>
      </c>
      <c r="H243" t="s">
        <v>22</v>
      </c>
      <c r="I243">
        <v>3.83818223689261E-3</v>
      </c>
      <c r="J243" s="2">
        <f>RANK(I243,$I$2:$I$245)</f>
        <v>242</v>
      </c>
      <c r="K243">
        <v>0</v>
      </c>
      <c r="L243">
        <v>10</v>
      </c>
      <c r="M243" s="2">
        <f>I243/(L243+0.0001)</f>
        <v>3.8381438554540556E-4</v>
      </c>
      <c r="N243" s="2">
        <f>RANK(M243,$M$2:$M$245)</f>
        <v>237</v>
      </c>
      <c r="O243" s="2">
        <v>1.4119883364222101E-3</v>
      </c>
      <c r="P243" s="2">
        <f>RANK(O243,$O$2:$O$245)</f>
        <v>232</v>
      </c>
    </row>
    <row r="244" spans="1:16" x14ac:dyDescent="0.2">
      <c r="A244" t="s">
        <v>26</v>
      </c>
      <c r="B244" t="s">
        <v>17</v>
      </c>
      <c r="C244">
        <v>0</v>
      </c>
      <c r="D244">
        <v>0</v>
      </c>
      <c r="E244">
        <v>5</v>
      </c>
      <c r="F244">
        <v>25</v>
      </c>
      <c r="G244" t="s">
        <v>23</v>
      </c>
      <c r="H244" t="s">
        <v>22</v>
      </c>
      <c r="I244">
        <v>3.6697247706421999E-3</v>
      </c>
      <c r="J244" s="2">
        <f>RANK(I244,$I$2:$I$245)</f>
        <v>243</v>
      </c>
      <c r="K244">
        <v>0</v>
      </c>
      <c r="L244">
        <v>5</v>
      </c>
      <c r="M244" s="2">
        <f>I244/(L244+0.0001)</f>
        <v>7.339302755229296E-4</v>
      </c>
      <c r="N244" s="2">
        <f>RANK(M244,$M$2:$M$245)</f>
        <v>216</v>
      </c>
      <c r="O244">
        <v>2.22580058610141E-3</v>
      </c>
      <c r="P244" s="2">
        <f>RANK(O244,$O$2:$O$245)</f>
        <v>222</v>
      </c>
    </row>
    <row r="245" spans="1:16" x14ac:dyDescent="0.2">
      <c r="A245" t="s">
        <v>26</v>
      </c>
      <c r="B245" t="s">
        <v>17</v>
      </c>
      <c r="C245">
        <v>0</v>
      </c>
      <c r="D245">
        <v>0</v>
      </c>
      <c r="E245">
        <v>0</v>
      </c>
      <c r="F245">
        <v>0</v>
      </c>
      <c r="G245" t="s">
        <v>23</v>
      </c>
      <c r="H245" t="s">
        <v>22</v>
      </c>
      <c r="I245">
        <v>3.5604927721996698E-3</v>
      </c>
      <c r="J245" s="2">
        <f>RANK(I245,$I$2:$I$245)</f>
        <v>244</v>
      </c>
      <c r="K245">
        <v>0</v>
      </c>
      <c r="L245">
        <v>0</v>
      </c>
      <c r="M245" s="2">
        <f>I245/(L245+0.0001)</f>
        <v>35.604927721996695</v>
      </c>
      <c r="N245" s="2">
        <f>RANK(M245,$M$2:$M$245)</f>
        <v>4</v>
      </c>
      <c r="O245">
        <v>3.5604927721996698E-3</v>
      </c>
      <c r="P245" s="2">
        <f>RANK(O245,$O$2:$O$245)</f>
        <v>213</v>
      </c>
    </row>
  </sheetData>
  <autoFilter ref="A1:P245" xr:uid="{1F8BA819-4DFF-4D88-A160-5D888D7C88C4}">
    <sortState ref="A2:P245">
      <sortCondition descending="1" ref="I1:I24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BC44-CFED-4209-A2A2-34F7EA7CB350}">
  <dimension ref="A1:P12"/>
  <sheetViews>
    <sheetView workbookViewId="0">
      <selection sqref="A1:P1"/>
    </sheetView>
  </sheetViews>
  <sheetFormatPr baseColWidth="10" defaultRowHeight="12.75" x14ac:dyDescent="0.2"/>
  <cols>
    <col min="1" max="16384" width="11.42578125" style="5"/>
  </cols>
  <sheetData>
    <row r="1" spans="1:16" x14ac:dyDescent="0.2">
      <c r="A1" s="7" t="s">
        <v>34</v>
      </c>
      <c r="B1" s="7"/>
      <c r="C1" s="7" t="s">
        <v>36</v>
      </c>
      <c r="D1" s="7"/>
      <c r="E1" s="7" t="s">
        <v>43</v>
      </c>
      <c r="F1" s="7"/>
      <c r="G1" s="7" t="s">
        <v>44</v>
      </c>
      <c r="H1" s="7"/>
      <c r="I1" s="7" t="s">
        <v>33</v>
      </c>
      <c r="J1" s="7"/>
      <c r="K1" s="7" t="s">
        <v>35</v>
      </c>
      <c r="L1" s="7"/>
      <c r="M1" s="7" t="s">
        <v>41</v>
      </c>
      <c r="N1" s="7"/>
      <c r="O1" s="7" t="s">
        <v>42</v>
      </c>
      <c r="P1" s="7"/>
    </row>
    <row r="3" spans="1:16" x14ac:dyDescent="0.2">
      <c r="A3" s="5">
        <v>0</v>
      </c>
      <c r="B3" s="5">
        <v>0</v>
      </c>
    </row>
    <row r="4" spans="1:16" x14ac:dyDescent="0.2">
      <c r="A4" s="5" t="s">
        <v>48</v>
      </c>
      <c r="B4" s="5" t="s">
        <v>40</v>
      </c>
    </row>
    <row r="5" spans="1:16" x14ac:dyDescent="0.2">
      <c r="A5" s="6" t="s">
        <v>49</v>
      </c>
      <c r="B5" s="5" t="s">
        <v>50</v>
      </c>
    </row>
    <row r="6" spans="1:16" x14ac:dyDescent="0.2">
      <c r="A6" s="5">
        <v>5</v>
      </c>
      <c r="B6" s="5">
        <v>25</v>
      </c>
    </row>
    <row r="7" spans="1:16" x14ac:dyDescent="0.2">
      <c r="A7" s="5" t="s">
        <v>48</v>
      </c>
      <c r="B7" s="5" t="s">
        <v>51</v>
      </c>
    </row>
    <row r="8" spans="1:16" x14ac:dyDescent="0.2">
      <c r="A8" s="5">
        <v>2</v>
      </c>
      <c r="B8" s="5">
        <v>25</v>
      </c>
    </row>
    <row r="9" spans="1:16" x14ac:dyDescent="0.2">
      <c r="A9" s="5" t="s">
        <v>48</v>
      </c>
      <c r="B9" s="5" t="s">
        <v>52</v>
      </c>
    </row>
    <row r="10" spans="1:16" x14ac:dyDescent="0.2">
      <c r="A10" s="5">
        <v>5</v>
      </c>
      <c r="B10" s="5">
        <v>50</v>
      </c>
    </row>
    <row r="11" spans="1:16" x14ac:dyDescent="0.2">
      <c r="A11" s="5">
        <v>1</v>
      </c>
      <c r="B11" s="5">
        <v>25</v>
      </c>
    </row>
    <row r="12" spans="1:16" x14ac:dyDescent="0.2">
      <c r="A12" s="5">
        <v>2</v>
      </c>
      <c r="B12" s="5">
        <v>50</v>
      </c>
    </row>
  </sheetData>
  <mergeCells count="8">
    <mergeCell ref="O1:P1"/>
    <mergeCell ref="G1:H1"/>
    <mergeCell ref="K1:L1"/>
    <mergeCell ref="A1:B1"/>
    <mergeCell ref="I1:J1"/>
    <mergeCell ref="C1:D1"/>
    <mergeCell ref="M1:N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index_clean_29-04</vt:lpstr>
      <vt:lpstr>v2026</vt:lpstr>
      <vt:lpstr>rank-2026</vt:lpstr>
      <vt:lpstr>vlowdensity</vt:lpstr>
      <vt:lpstr>rank-low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 Bostal</cp:lastModifiedBy>
  <dcterms:modified xsi:type="dcterms:W3CDTF">2026-05-19T16:29:55Z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2026-04-29T15:16:16Z</dcterms:modified>
  <cp:revision>1</cp:revision>
  <dc:subject/>
  <dc:title/>
</cp:coreProperties>
</file>